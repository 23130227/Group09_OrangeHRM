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Test case List" sheetId="2" state="visible" r:id="rId4"/>
    <sheet name="Test Design" sheetId="3" state="visible" r:id="rId5"/>
    <sheet name="Events" sheetId="4" state="visible" r:id="rId6"/>
    <sheet name="Test Report" sheetId="5" state="visible" r:id="rId7"/>
    <sheet name="Defect List" sheetId="6" state="visible" r:id="rId8"/>
    <sheet name="Automation Pla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<sst xmlns="http://schemas.openxmlformats.org/spreadsheetml/2006/main" count="484" uniqueCount="284">
  <si>
    <t xml:space="preserve">TEST CASE</t>
  </si>
  <si>
    <t xml:space="preserve">Project Name</t>
  </si>
  <si>
    <t xml:space="preserve">OrangeHRM – Human Resource Management System (Claim module)</t>
  </si>
  <si>
    <t xml:space="preserve">Creator</t>
  </si>
  <si>
    <t xml:space="preserve">Tran Loi Phat – 23130233</t>
  </si>
  <si>
    <t xml:space="preserve">Project Code</t>
  </si>
  <si>
    <t xml:space="preserve">Group09-OrangeHRM</t>
  </si>
  <si>
    <t xml:space="preserve">Reviewer/Approver</t>
  </si>
  <si>
    <t xml:space="preserve">Group09 Leader</t>
  </si>
  <si>
    <t xml:space="preserve">Document Code</t>
  </si>
  <si>
    <t xml:space="preserve">Group09_23130233_TestCase_V1.0</t>
  </si>
  <si>
    <t xml:space="preserve">Issue Date</t>
  </si>
  <si>
    <t xml:space="preserve">10/23/2026</t>
  </si>
  <si>
    <t xml:space="preserve">Version</t>
  </si>
  <si>
    <t xml:space="preserve">1.0</t>
  </si>
  <si>
    <t xml:space="preserve">Record of change</t>
  </si>
  <si>
    <t xml:space="preserve">Effective Date</t>
  </si>
  <si>
    <t xml:space="preserve">Change Item</t>
  </si>
  <si>
    <t xml:space="preserve">*A,D,M</t>
  </si>
  <si>
    <t xml:space="preserve">Change description</t>
  </si>
  <si>
    <t xml:space="preserve">Reference</t>
  </si>
  <si>
    <t xml:space="preserve">Whole document</t>
  </si>
  <si>
    <t xml:space="preserve">A</t>
  </si>
  <si>
    <t xml:space="preserve">Create test design and test cases for Claim module – Events function; Test Report; Defect List; Automation plan</t>
  </si>
  <si>
    <t xml:space="preserve">OrangeHRM OS 5.9 – https://opensource-demo.orangehrmlive.com</t>
  </si>
  <si>
    <t xml:space="preserve">*A - Added; M - Modified; D - Deleted</t>
  </si>
  <si>
    <t xml:space="preserve">TEST CASE LIST</t>
  </si>
  <si>
    <t xml:space="preserve">Test Environment Setup Description</t>
  </si>
  <si>
    <t xml:space="preserve">1. Website: https://opensource-demo.orangehrmlive.com (OrangeHRM OS 5.9)
2. Browser: latest Google Chrome; OS: Windows 11
3. Account: demo Admin account shown on the login page (has permission to configure Claim)
4. All new test data is prefixed with 'G09' to distinguish it from other users' data on the shared demo site
5. Event Name max 100 characters, Description max 1000 characters
6. Test date: 10/23/2026. Automation: Selenium WebDriver + Python + pytest (automation folder in the group repo)</t>
  </si>
  <si>
    <t xml:space="preserve">No</t>
  </si>
  <si>
    <t xml:space="preserve">Function Name</t>
  </si>
  <si>
    <t xml:space="preserve">Sheet Name</t>
  </si>
  <si>
    <t xml:space="preserve">Description</t>
  </si>
  <si>
    <t xml:space="preserve">Pre-Condition</t>
  </si>
  <si>
    <t xml:space="preserve">Events management (Configuration &gt; Events)</t>
  </si>
  <si>
    <t xml:space="preserve">Events</t>
  </si>
  <si>
    <t xml:space="preserve">UI, name/description validation (EP, BVA), duplicate names, filter, sort, edit, single and bulk delete</t>
  </si>
  <si>
    <t xml:space="preserve">Logged in as Admin; 3 default events exist</t>
  </si>
  <si>
    <t xml:space="preserve">TEST DESIGN – CLAIM MODULE – EVENTS</t>
  </si>
  <si>
    <t xml:space="preserve">Techniques: EP – Equivalence Partitioning; BVA – Boundary Value Analysis; DT – Decision Table; ST – State Transition; EG – Error Guessing; UI – User Interface check</t>
  </si>
  <si>
    <t xml:space="preserve">Function</t>
  </si>
  <si>
    <t xml:space="preserve">Test condition / item</t>
  </si>
  <si>
    <t xml:space="preserve">Technique</t>
  </si>
  <si>
    <t xml:space="preserve">Valid values</t>
  </si>
  <si>
    <t xml:space="preserve">Invalid values</t>
  </si>
  <si>
    <t xml:space="preserve">Test case</t>
  </si>
  <si>
    <t xml:space="preserve">List and form UI</t>
  </si>
  <si>
    <t xml:space="preserve">UI</t>
  </si>
  <si>
    <t xml:space="preserve">All filters, columns and buttons</t>
  </si>
  <si>
    <t xml:space="preserve">—</t>
  </si>
  <si>
    <t xml:space="preserve">Claim-Events-1</t>
  </si>
  <si>
    <t xml:space="preserve">Event Name (required, ≤ 100 characters)</t>
  </si>
  <si>
    <t xml:space="preserve">EP, BVA</t>
  </si>
  <si>
    <t xml:space="preserve">Valid name; 100 characters</t>
  </si>
  <si>
    <t xml:space="preserve">Empty; spaces only; 101 characters</t>
  </si>
  <si>
    <t xml:space="preserve">Claim-Events-2 → 6</t>
  </si>
  <si>
    <t xml:space="preserve">Event Name must be unique</t>
  </si>
  <si>
    <t xml:space="preserve">EP, EG</t>
  </si>
  <si>
    <t xml:space="preserve">New name</t>
  </si>
  <si>
    <t xml:space="preserve">Duplicate; different case; leading/trailing spaces</t>
  </si>
  <si>
    <t xml:space="preserve">Claim-Events-7 → 9</t>
  </si>
  <si>
    <t xml:space="preserve">Description (≤ 1000 characters), Active</t>
  </si>
  <si>
    <t xml:space="preserve">BVA, EP</t>
  </si>
  <si>
    <t xml:space="preserve">1000 characters; Active/Inactive</t>
  </si>
  <si>
    <t xml:space="preserve">1001 characters</t>
  </si>
  <si>
    <t xml:space="preserve">Claim-Events-10, 11</t>
  </si>
  <si>
    <t xml:space="preserve">Search, filter, sort</t>
  </si>
  <si>
    <t xml:space="preserve">EP, DT</t>
  </si>
  <si>
    <t xml:space="preserve">Name from hints; Status Inactive</t>
  </si>
  <si>
    <t xml:space="preserve">Non-existent name</t>
  </si>
  <si>
    <t xml:space="preserve">Claim-Events-13 → 17</t>
  </si>
  <si>
    <t xml:space="preserve">Edit, delete</t>
  </si>
  <si>
    <t xml:space="preserve">ST</t>
  </si>
  <si>
    <t xml:space="preserve">Edit name/description/status; Yes, Delete; bulk delete</t>
  </si>
  <si>
    <t xml:space="preserve">Duplicate/empty name on edit; No, Cancel</t>
  </si>
  <si>
    <t xml:space="preserve">Claim-Events-12, 18 → 23</t>
  </si>
  <si>
    <t xml:space="preserve">Module Code</t>
  </si>
  <si>
    <t xml:space="preserve">Claim-Events</t>
  </si>
  <si>
    <t xml:space="preserve">Test requirement</t>
  </si>
  <si>
    <t xml:space="preserve">Admin adds, edits, deletes and searches events used as the basis for claim requests</t>
  </si>
  <si>
    <t xml:space="preserve">Tester</t>
  </si>
  <si>
    <t xml:space="preserve">Passed</t>
  </si>
  <si>
    <t xml:space="preserve">Failed</t>
  </si>
  <si>
    <t xml:space="preserve">Untested</t>
  </si>
  <si>
    <t xml:space="preserve">Blocked</t>
  </si>
  <si>
    <t xml:space="preserve">Skipped</t>
  </si>
  <si>
    <t xml:space="preserve">Number of Test cases</t>
  </si>
  <si>
    <t xml:space="preserve">ID</t>
  </si>
  <si>
    <t xml:space="preserve">Test Case Description</t>
  </si>
  <si>
    <t xml:space="preserve">Test Case Procedure</t>
  </si>
  <si>
    <t xml:space="preserve">Expected Output</t>
  </si>
  <si>
    <t xml:space="preserve">Inter-test case Dependence</t>
  </si>
  <si>
    <t xml:space="preserve">Result</t>
  </si>
  <si>
    <t xml:space="preserve">Test date</t>
  </si>
  <si>
    <t xml:space="preserve">Note</t>
  </si>
  <si>
    <t xml:space="preserve">[Claim-Events-1]</t>
  </si>
  <si>
    <t xml:space="preserve">Check UI of Events list screen</t>
  </si>
  <si>
    <t xml:space="preserve">Pre-condition:
- Logged in with the Admin account
Step:
1. Click [Claim] menu
2. Click [Configuration] &gt; [Events]</t>
  </si>
  <si>
    <t xml:space="preserve">1. Events filter is displayed: Event Name (hint box 'Type for hints...'), Status (-- Select --), [Reset] and [Search] buttons
2. [+ Add] button and '(n) Records Found' text are displayed
3. Table has columns: checkbox, Event Name, Status, Actions (delete and edit icons)
4. Default data: Accommodation, Medical Reimbursement, Travel Allowance (Active)</t>
  </si>
  <si>
    <t xml:space="preserve">[Claim-Events-2]</t>
  </si>
  <si>
    <t xml:space="preserve">Add a valid event</t>
  </si>
  <si>
    <t xml:space="preserve">Pre-condition:
- Logged in with the Admin account
- Go to Claim &gt; Configuration &gt; Events
- Click [+ Add] (Add Event screen)
Step:
1. Input Event Name and Description
2. Keep Active switch on
3. Click [Save] button
Test data:
- Event Name: G09 Travel Event
- Description: Business trip expenses - Group09 test</t>
  </si>
  <si>
    <t xml:space="preserve">1. Message 'Success - Successfully Saved' is displayed
2. Back to Events list; row 'G09 Travel Event | Active' is displayed</t>
  </si>
  <si>
    <t xml:space="preserve">[Claim-Events-3]</t>
  </si>
  <si>
    <t xml:space="preserve">Event Name is empty</t>
  </si>
  <si>
    <t xml:space="preserve">Pre-condition:
- Logged in with the Admin account
- Go to Claim &gt; Configuration &gt; Events
- Click [+ Add] (Add Event screen)
Step:
1. Leave Event Name empty
2. Click [Save] button</t>
  </si>
  <si>
    <t xml:space="preserve">1. 'Required' is displayed under Event Name
2. Record is not saved, still on Add Event screen</t>
  </si>
  <si>
    <t xml:space="preserve">[Claim-Events-4]</t>
  </si>
  <si>
    <t xml:space="preserve">Event Name contains only spaces</t>
  </si>
  <si>
    <t xml:space="preserve">Pre-condition:
- Logged in with the Admin account
- Go to Claim &gt; Configuration &gt; Events
- Click [+ Add] (Add Event screen)
Step:
1. Input Event Name with spaces only
2. Click [Save] button
Test data:
- Event Name: '   ' (3 spaces)</t>
  </si>
  <si>
    <t xml:space="preserve">1. 'Required' is displayed
2. Record is not saved</t>
  </si>
  <si>
    <t xml:space="preserve">[Claim-Events-5]</t>
  </si>
  <si>
    <t xml:space="preserve">Event Name with 100 characters (upper boundary)</t>
  </si>
  <si>
    <t xml:space="preserve">Pre-condition:
- Logged in with the Admin account
- Go to Claim &gt; Configuration &gt; Events
- Click [+ Add] (Add Event screen)
Step:
1. Input Event Name with 100 characters
2. Click [Save] button
Test data:
- Event Name: 'G09 ' + 96 x 'L' (100 characters)</t>
  </si>
  <si>
    <t xml:space="preserve">1. No error message
2. Saved successfully: 'Successfully Saved'</t>
  </si>
  <si>
    <t xml:space="preserve">BVA</t>
  </si>
  <si>
    <t xml:space="preserve">[Claim-Events-6]</t>
  </si>
  <si>
    <t xml:space="preserve">Event Name with 101 characters (over boundary)</t>
  </si>
  <si>
    <t xml:space="preserve">Pre-condition:
- Logged in with the Admin account
- Go to Claim &gt; Configuration &gt; Events
- Click [+ Add] (Add Event screen)
Step:
1. Input Event Name with 101 characters
Test data:
- Event Name: 101 x 'G'</t>
  </si>
  <si>
    <t xml:space="preserve">1. 'Should not exceed 100 characters' is displayed
2. Record cannot be saved</t>
  </si>
  <si>
    <t xml:space="preserve">[Claim-Events-7]</t>
  </si>
  <si>
    <t xml:space="preserve">Event Name duplicates an existing event</t>
  </si>
  <si>
    <t xml:space="preserve">Pre-condition:
- Logged in with the Admin account
- Go to Claim &gt; Configuration &gt; Events
- Click [+ Add] (Add Event screen)
Step:
1. Input an existing Event Name
Test data:
- Event Name: Accommodation</t>
  </si>
  <si>
    <t xml:space="preserve">1. 'Already exists' is displayed
2. Record cannot be saved</t>
  </si>
  <si>
    <t xml:space="preserve">[Claim-Events-8]</t>
  </si>
  <si>
    <t xml:space="preserve">Event Name duplicates with different letter case</t>
  </si>
  <si>
    <t xml:space="preserve">Pre-condition:
- Logged in with the Admin account
- Go to Claim &gt; Configuration &gt; Events
- Click [+ Add] (Add Event screen)
Step:
1. Input Event Name
Test data:
- Event Name: accommodation</t>
  </si>
  <si>
    <t xml:space="preserve">1. 'Already exists' is displayed (case-insensitive check)</t>
  </si>
  <si>
    <t xml:space="preserve">[Claim-Events-9]</t>
  </si>
  <si>
    <t xml:space="preserve">Event Name duplicates with leading/trailing spaces</t>
  </si>
  <si>
    <t xml:space="preserve">Pre-condition:
- Logged in with the Admin account
- Go to Claim &gt; Configuration &gt; Events
- Click [+ Add] (Add Event screen)
- Event 'G09 Travel Event' already exists
Step:
1. Input Event Name
2. Click [Save] button
Test data:
- Event Name: '  G09 Travel Event  '</t>
  </si>
  <si>
    <t xml:space="preserve">1. System trims the spaces and displays 'Already exists' under Event Name
2. Record is not saved</t>
  </si>
  <si>
    <t xml:space="preserve">BUG-01. Actual: 'Already exists' is not displayed; clicking Save shows toast 'Error - Invalid Parameter'</t>
  </si>
  <si>
    <t xml:space="preserve">[Claim-Events-10]</t>
  </si>
  <si>
    <t xml:space="preserve">Description with 1000 / 1001 characters</t>
  </si>
  <si>
    <t xml:space="preserve">Pre-condition:
- Logged in with the Admin account
- Go to Claim &gt; Configuration &gt; Events
- Click [+ Add] (Add Event screen)
Step:
1. Input a valid Event Name
2. Input Description with 1000 characters
3. Change Description to 1001 characters
Test data:
- Event Name: G09 Desc Test
- Description: 1000 x 'D', then 1001 x 'D'</t>
  </si>
  <si>
    <t xml:space="preserve">1. 1000 characters: no error
2. 1001 characters: 'Should not exceed 1000 characters' is displayed</t>
  </si>
  <si>
    <t xml:space="preserve">[Claim-Events-11]</t>
  </si>
  <si>
    <t xml:space="preserve">Add an inactive event</t>
  </si>
  <si>
    <t xml:space="preserve">Pre-condition:
- Logged in with the Admin account
- Go to Claim &gt; Configuration &gt; Events
- Click [+ Add] (Add Event screen)
Step:
1. Input data
2. Turn off Active switch
3. Click [Save] button
Test data:
- Event Name: G09 Inactive Event
- Description: Inactive event - Group09 test</t>
  </si>
  <si>
    <t xml:space="preserve">1. Saved successfully: 'Successfully Saved'
2. List displays 'G09 Inactive Event | Inactive'</t>
  </si>
  <si>
    <t xml:space="preserve">[Claim-Events-12]</t>
  </si>
  <si>
    <t xml:space="preserve">Cancel button on Add Event screen</t>
  </si>
  <si>
    <t xml:space="preserve">Pre-condition:
- Logged in with the Admin account
- Go to Claim &gt; Configuration &gt; Events
- Click [+ Add] (Add Event screen)
Step:
1. Input Event Name
2. Click [Cancel] button
Test data:
- Event Name: G09 Cancel Test</t>
  </si>
  <si>
    <t xml:space="preserve">1. Back to Events list
2. Event 'G09 Cancel Test' is not created</t>
  </si>
  <si>
    <t xml:space="preserve">[Claim-Events-13]</t>
  </si>
  <si>
    <t xml:space="preserve">Search by Event Name (select from hints)</t>
  </si>
  <si>
    <t xml:space="preserve">Pre-condition:
- Logged in with the Admin account
- Go to Claim &gt; Configuration &gt; Events
- Event 'G09 Travel Event' exists
Step:
1. Type 'G09' into Event Name
2. Select 'G09 Travel Event' from the hint list
3. Click [Search]</t>
  </si>
  <si>
    <t xml:space="preserve">1. Hint list shows 'G09 Travel Event'
2. Result '(1) Records Found': G09 Travel Event | Active</t>
  </si>
  <si>
    <t xml:space="preserve">[Claim-Events-14]</t>
  </si>
  <si>
    <t xml:space="preserve">Search with a non-existent name</t>
  </si>
  <si>
    <t xml:space="preserve">Pre-condition:
- Logged in with the Admin account
- Go to Claim &gt; Configuration &gt; Events
Step:
1. Type a non-existent name into Event Name (do not select a hint)
2. Click [Search]
Test data:
- Event Name: G09 Khong Ton Tai</t>
  </si>
  <si>
    <t xml:space="preserve">1. No hint is displayed
2. 'No Records Found' and message 'Info - No Records Found' are displayed</t>
  </si>
  <si>
    <t xml:space="preserve">[Claim-Events-15]</t>
  </si>
  <si>
    <t xml:space="preserve">Filter by Status = Inactive</t>
  </si>
  <si>
    <t xml:space="preserve">Pre-condition:
- Logged in with the Admin account
- Go to Claim &gt; Configuration &gt; Events
- Event 'G09 Inactive Event' exists
Step:
1. Select Status = Inactive
2. Click [Search]</t>
  </si>
  <si>
    <t xml:space="preserve">1. Only inactive events are displayed: '(1) Records Found' – G09 Inactive Event | Inactive</t>
  </si>
  <si>
    <t xml:space="preserve">[Claim-Events-16]</t>
  </si>
  <si>
    <t xml:space="preserve">Reset button of the filter</t>
  </si>
  <si>
    <t xml:space="preserve">Pre-condition:
- Logged in with the Admin account
- Go to Claim &gt; Configuration &gt; Events
Step:
1. Filter by Event Name 'G09 Travel Event' and click Search
2. Click [Reset]</t>
  </si>
  <si>
    <t xml:space="preserve">1. Event Name is cleared, Status is back to '-- Select --'
2. All events are displayed again</t>
  </si>
  <si>
    <t xml:space="preserve">[Claim-Events-17]</t>
  </si>
  <si>
    <t xml:space="preserve">Sort by Event Name descending</t>
  </si>
  <si>
    <t xml:space="preserve">Pre-condition:
- Logged in with the Admin account
- Go to Claim &gt; Configuration &gt; Events
Step:
1. Click sort icon on Event Name column
2. Select 'Descending'</t>
  </si>
  <si>
    <t xml:space="preserve">1. List is sorted Z to A: Travel Allowance, Medical Reimbursement, G09 Travel Event, G09 Inactive Event, Accommodation</t>
  </si>
  <si>
    <t xml:space="preserve">[Claim-Events-18]</t>
  </si>
  <si>
    <t xml:space="preserve">Edit event – name validation</t>
  </si>
  <si>
    <t xml:space="preserve">Pre-condition:
- Logged in with the Admin account
- Go to Claim &gt; Configuration &gt; Events
Step:
1. Click edit icon on 'G09 Travel Event' row
2. Change Event Name to 'Medical Reimbursement'
3. Clear Event Name</t>
  </si>
  <si>
    <t xml:space="preserve">1. 'Edit Event' screen shows the current data of the event
2. Duplicate name: 'Already exists' is displayed
3. Empty name: 'Required' is displayed</t>
  </si>
  <si>
    <t xml:space="preserve">[Claim-Events-19]</t>
  </si>
  <si>
    <t xml:space="preserve">Edit event name and description</t>
  </si>
  <si>
    <t xml:space="preserve">Pre-condition:
- Logged in with the Admin account
- Go to Claim &gt; Configuration &gt; Events
Step:
1. Click edit icon on 'G09 Travel Event' row
2. Change data
3. Click [Save] button
Test data:
- Event Name: G09 Business Trip
- Description: Updated by Group09</t>
  </si>
  <si>
    <t xml:space="preserve">1. Message 'Success - Successfully Updated' is displayed
2. List displays 'G09 Business Trip'</t>
  </si>
  <si>
    <t xml:space="preserve">[Claim-Events-20]</t>
  </si>
  <si>
    <t xml:space="preserve">Edit event from Active to Inactive</t>
  </si>
  <si>
    <t xml:space="preserve">Pre-condition:
- Logged in with the Admin account
- Go to Claim &gt; Configuration &gt; Events
Step:
1. Click edit icon on the 100-character event (created in [Claim-Events-5])
2. Turn off Active switch
3. Click [Save] button</t>
  </si>
  <si>
    <t xml:space="preserve">1. 'Successfully Updated' is displayed
2. Event status changes to Inactive</t>
  </si>
  <si>
    <t xml:space="preserve">[Claim-Events-21]</t>
  </si>
  <si>
    <t xml:space="preserve">Delete event – select No, Cancel</t>
  </si>
  <si>
    <t xml:space="preserve">Pre-condition:
- Logged in with the Admin account
- Go to Claim &gt; Configuration &gt; Events
Step:
1. Click delete icon on the 100-character event
2. Click [No, Cancel]</t>
  </si>
  <si>
    <t xml:space="preserve">1. Dialog 'Are you Sure?' – 'The selected record will be permanently deleted. Are you sure you want to continue?' is displayed
2. Dialog is closed, the event is still in the list</t>
  </si>
  <si>
    <t xml:space="preserve">[Claim-Events-22]</t>
  </si>
  <si>
    <t xml:space="preserve">Delete event – select Yes, Delete</t>
  </si>
  <si>
    <t xml:space="preserve">Pre-condition:
- Logged in with the Admin account
- Go to Claim &gt; Configuration &gt; Events
Step:
1. Click delete icon on the 100-character event
2. Click [Yes, Delete]</t>
  </si>
  <si>
    <t xml:space="preserve">1. Message 'Success - Successfully Deleted' is displayed
2. Event is removed from the list</t>
  </si>
  <si>
    <t xml:space="preserve">[Claim-Events-23]</t>
  </si>
  <si>
    <t xml:space="preserve">Delete multiple events at once</t>
  </si>
  <si>
    <t xml:space="preserve">Pre-condition:
- Logged in with the Admin account
- Go to Claim &gt; Configuration &gt; Events
- Events 'G09 Bulk A' and 'G09 Bulk B' are created
Step:
1. Tick checkboxes of G09 Bulk A and G09 Bulk B
2. Click [Delete Selected]
3. Click [Yes, Delete]</t>
  </si>
  <si>
    <t xml:space="preserve">1. '(2) Records Selected' and [Delete Selected] button are displayed
2. 'Successfully Deleted' is displayed, both events are removed</t>
  </si>
  <si>
    <t xml:space="preserve">TEST REPORT</t>
  </si>
  <si>
    <t xml:space="preserve">Notes</t>
  </si>
  <si>
    <t xml:space="preserve">Results are calculated automatically from the Result column of each function sheet</t>
  </si>
  <si>
    <t xml:space="preserve">Module code</t>
  </si>
  <si>
    <t xml:space="preserve">Number of test cases</t>
  </si>
  <si>
    <t xml:space="preserve">Sub total</t>
  </si>
  <si>
    <t xml:space="preserve">Test coverage</t>
  </si>
  <si>
    <t xml:space="preserve">Test successful coverage</t>
  </si>
  <si>
    <t xml:space="preserve">Test coverage = (Passed + Failed) / Total TCs; Test successful coverage = Passed / Total TCs</t>
  </si>
  <si>
    <t xml:space="preserve">DEFECT LIST</t>
  </si>
  <si>
    <t xml:space="preserve">Defect ID</t>
  </si>
  <si>
    <t xml:space="preserve">Summary</t>
  </si>
  <si>
    <t xml:space="preserve">Steps to reproduce</t>
  </si>
  <si>
    <t xml:space="preserve">Expected result</t>
  </si>
  <si>
    <t xml:space="preserve">Actual result</t>
  </si>
  <si>
    <t xml:space="preserve">Severity</t>
  </si>
  <si>
    <t xml:space="preserve">Status</t>
  </si>
  <si>
    <t xml:space="preserve">BUG-01</t>
  </si>
  <si>
    <t xml:space="preserve">Claim-Events-9</t>
  </si>
  <si>
    <t xml:space="preserve">Adding an event with a duplicate name plus leading/trailing spaces does not show 'Already exists'</t>
  </si>
  <si>
    <t xml:space="preserve">1. Claim &gt; Configuration &gt; Events &gt; Add
2. Event Name = '  G09 Travel Event  ' ('G09 Travel Event' exists)
3. Click Save</t>
  </si>
  <si>
    <t xml:space="preserve">'Already exists' under Event Name</t>
  </si>
  <si>
    <t xml:space="preserve">No inline error; Save shows toast 'Error - Invalid Parameter'</t>
  </si>
  <si>
    <t xml:space="preserve">Medium</t>
  </si>
  <si>
    <t xml:space="preserve">Open</t>
  </si>
  <si>
    <t xml:space="preserve">AUTOMATION TEST PLAN – CLAIM MODULE – EVENTS</t>
  </si>
  <si>
    <t xml:space="preserve">A. IMPLEMENTATION CHECKLIST</t>
  </si>
  <si>
    <t xml:space="preserve">Item</t>
  </si>
  <si>
    <t xml:space="preserve">Content</t>
  </si>
  <si>
    <t xml:space="preserve">Owner</t>
  </si>
  <si>
    <t xml:space="preserve">Objective</t>
  </si>
  <si>
    <t xml:space="preserve">Automate 23 test cases of the Events function (Claim module); Priority High cases are used as a smoke test after each change</t>
  </si>
  <si>
    <t xml:space="preserve">Tran Loi Phat</t>
  </si>
  <si>
    <t xml:space="preserve">Done</t>
  </si>
  <si>
    <t xml:space="preserve">Tools</t>
  </si>
  <si>
    <t xml:space="preserve">Selenium WebDriver 4 + Python + pytest (pytest-html for reports); Selenium Manager downloads ChromeDriver automatically</t>
  </si>
  <si>
    <t xml:space="preserve">Environment</t>
  </si>
  <si>
    <t xml:space="preserve">https://opensource-demo.orangehrmlive.com, latest Google Chrome; demo Admin account read from environment variables HRM_USER / HRM_PASS (not hard-coded)</t>
  </si>
  <si>
    <t xml:space="preserve">Project structure</t>
  </si>
  <si>
    <t xml:space="preserve">Page Object Model: pages/ (BasePage, LoginPage, EventsPage); tests/test_events.py; conftest.py logs in once per run</t>
  </si>
  <si>
    <t xml:space="preserve">Test data</t>
  </si>
  <si>
    <t xml:space="preserve">Data names use prefix 'G09' + timestamp so runs never collide; events created by the script are cleaned up after the run</t>
  </si>
  <si>
    <t xml:space="preserve">Locators</t>
  </si>
  <si>
    <t xml:space="preserve">OrangeHRM OXD components: input by label (.oxd-input-group), dropdown .oxd-select-text / .oxd-select-option, hints .oxd-autocomplete-option, field error .oxd-input-field-error-message, toast .oxd-toast</t>
  </si>
  <si>
    <t xml:space="preserve">Synchronization</t>
  </si>
  <si>
    <t xml:space="preserve">Explicit waits for toasts, AJAX and the duplicate-name check (about 1-2 seconds delay); screenshot on failure</t>
  </si>
  <si>
    <t xml:space="preserve">Schedule</t>
  </si>
  <si>
    <t xml:space="preserve">Week 1: framework + Events list/search/sort cases; Week 2: add/edit/delete cases; Week 3: CI integration, reports, script fixes</t>
  </si>
  <si>
    <t xml:space="preserve">In progress</t>
  </si>
  <si>
    <t xml:space="preserve">CI/CD</t>
  </si>
  <si>
    <t xml:space="preserve">GitHub Actions runs pytest (headless Chrome) on push to dev branch; demo account stored in GitHub Secrets; HTML report uploaded as artifact</t>
  </si>
  <si>
    <t xml:space="preserve">Git workflow</t>
  </si>
  <si>
    <t xml:space="preserve">Each member works on a personal branch (e.g. feature/23130233-claim), opens a Pull Request to dev; the leader reviews and merges</t>
  </si>
  <si>
    <t xml:space="preserve">Risks</t>
  </si>
  <si>
    <t xml:space="preserve">Shared demo site may reset data and sessions may expire: the script creates its own data before each test and logs in again when redirected to the login page</t>
  </si>
  <si>
    <t xml:space="preserve">Exit criteria</t>
  </si>
  <si>
    <t xml:space="preserve">All Priority High cases have stable scripts; the defect in Defect List is reproduced automatically; results are written to the Result column and summarized in Test Report</t>
  </si>
  <si>
    <t xml:space="preserve">Not started</t>
  </si>
  <si>
    <t xml:space="preserve">B. AUTOMATED TEST CASE LIST</t>
  </si>
  <si>
    <t xml:space="preserve">Automate: Y = fully automated, P = partially (manual check needed), N = manual. Priority: H = high (smoke), M = medium, L = low</t>
  </si>
  <si>
    <t xml:space="preserve">Test case ID</t>
  </si>
  <si>
    <t xml:space="preserve">Automate</t>
  </si>
  <si>
    <t xml:space="preserve">Priority</t>
  </si>
  <si>
    <t xml:space="preserve">Script / Test function</t>
  </si>
  <si>
    <t xml:space="preserve">Y</t>
  </si>
  <si>
    <t xml:space="preserve">M</t>
  </si>
  <si>
    <t xml:space="preserve">test_events.py::test_tc01</t>
  </si>
  <si>
    <t xml:space="preserve">H</t>
  </si>
  <si>
    <t xml:space="preserve">test_events.py::test_tc02</t>
  </si>
  <si>
    <t xml:space="preserve">test_events.py::test_tc03</t>
  </si>
  <si>
    <t xml:space="preserve">test_events.py::test_tc04</t>
  </si>
  <si>
    <t xml:space="preserve">test_events.py::test_tc05</t>
  </si>
  <si>
    <t xml:space="preserve">test_events.py::test_tc06</t>
  </si>
  <si>
    <t xml:space="preserve">test_events.py::test_tc07</t>
  </si>
  <si>
    <t xml:space="preserve">test_events.py::test_tc08</t>
  </si>
  <si>
    <t xml:space="preserve">test_events.py::test_tc09</t>
  </si>
  <si>
    <t xml:space="preserve">L</t>
  </si>
  <si>
    <t xml:space="preserve">test_events.py::test_tc10</t>
  </si>
  <si>
    <t xml:space="preserve">test_events.py::test_tc11</t>
  </si>
  <si>
    <t xml:space="preserve">test_events.py::test_tc12</t>
  </si>
  <si>
    <t xml:space="preserve">test_events.py::test_tc13</t>
  </si>
  <si>
    <t xml:space="preserve">test_events.py::test_tc14</t>
  </si>
  <si>
    <t xml:space="preserve">test_events.py::test_tc15</t>
  </si>
  <si>
    <t xml:space="preserve">test_events.py::test_tc16</t>
  </si>
  <si>
    <t xml:space="preserve">test_events.py::test_tc17</t>
  </si>
  <si>
    <t xml:space="preserve">test_events.py::test_tc18</t>
  </si>
  <si>
    <t xml:space="preserve">test_events.py::test_tc19</t>
  </si>
  <si>
    <t xml:space="preserve">test_events.py::test_tc20</t>
  </si>
  <si>
    <t xml:space="preserve">test_events.py::test_tc21</t>
  </si>
  <si>
    <t xml:space="preserve">test_events.py::test_tc22</t>
  </si>
  <si>
    <t xml:space="preserve">test_events.py::test_tc23</t>
  </si>
  <si>
    <t xml:space="preserve">Total TCs</t>
  </si>
  <si>
    <t xml:space="preserve">Automate = Y</t>
  </si>
  <si>
    <t xml:space="preserve">Automate = P</t>
  </si>
  <si>
    <t xml:space="preserve">Automation rate</t>
  </si>
</sst>
</file>

<file path=xl/styles.xml><?xml version="1.0" encoding="utf-8"?>
<styleSheet xmlns="http://schemas.openxmlformats.org/spreadsheetml/2006/main">
  <numFmts count="3">
    <numFmt numFmtId="164" formatCode="General"/>
    <numFmt numFmtId="165" formatCode="General"/>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20"/>
      <color rgb="FF1F4E78"/>
      <name val="Arial"/>
      <family val="0"/>
      <charset val="1"/>
    </font>
    <font>
      <b val="true"/>
      <sz val="10"/>
      <color rgb="FF000000"/>
      <name val="Arial"/>
      <family val="0"/>
      <charset val="1"/>
    </font>
    <font>
      <sz val="10"/>
      <color rgb="FF000000"/>
      <name val="Arial"/>
      <family val="0"/>
      <charset val="1"/>
    </font>
    <font>
      <b val="true"/>
      <sz val="11"/>
      <color rgb="FF1F4E78"/>
      <name val="Arial"/>
      <family val="0"/>
      <charset val="1"/>
    </font>
    <font>
      <b val="true"/>
      <sz val="10"/>
      <color rgb="FFFFFFFF"/>
      <name val="Arial"/>
      <family val="0"/>
      <charset val="1"/>
    </font>
    <font>
      <sz val="9"/>
      <color rgb="FF595959"/>
      <name val="Arial"/>
      <family val="0"/>
      <charset val="1"/>
    </font>
    <font>
      <b val="true"/>
      <sz val="16"/>
      <color rgb="FF1F4E78"/>
      <name val="Arial"/>
      <family val="0"/>
      <charset val="1"/>
    </font>
    <font>
      <u val="single"/>
      <sz val="10"/>
      <color rgb="FF0563C1"/>
      <name val="Arial"/>
      <family val="0"/>
      <charset val="1"/>
    </font>
    <font>
      <b val="true"/>
      <sz val="14"/>
      <color rgb="FF1F4E78"/>
      <name val="Arial"/>
      <family val="0"/>
      <charset val="1"/>
    </font>
  </fonts>
  <fills count="5">
    <fill>
      <patternFill patternType="none"/>
    </fill>
    <fill>
      <patternFill patternType="gray125"/>
    </fill>
    <fill>
      <patternFill patternType="solid">
        <fgColor rgb="FFF2F2F2"/>
        <bgColor rgb="FFDDEBF7"/>
      </patternFill>
    </fill>
    <fill>
      <patternFill patternType="solid">
        <fgColor rgb="FF1F4E78"/>
        <bgColor rgb="FF003366"/>
      </patternFill>
    </fill>
    <fill>
      <patternFill patternType="solid">
        <fgColor rgb="FFDDEBF7"/>
        <bgColor rgb="FFF2F2F2"/>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Group09_23130233_TranLoiPhat.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3" min="3" style="0" width="14"/>
    <col collapsed="false" customWidth="true" hidden="false" outlineLevel="0" max="4" min="4" style="0" width="16"/>
    <col collapsed="false" customWidth="true" hidden="false" outlineLevel="0" max="5" min="5" style="0" width="10"/>
    <col collapsed="false" customWidth="true" hidden="false" outlineLevel="0" max="6" min="6" style="0" width="40"/>
    <col collapsed="false" customWidth="true" hidden="false" outlineLevel="0" max="7" min="7" style="0" width="34"/>
  </cols>
  <sheetData>
    <row r="2" customFormat="false" ht="24.45" hidden="false" customHeight="true" outlineLevel="0" collapsed="false">
      <c r="B2" s="1" t="s">
        <v>0</v>
      </c>
      <c r="C2" s="1"/>
      <c r="D2" s="1"/>
      <c r="E2" s="1"/>
      <c r="F2" s="1"/>
      <c r="G2" s="1"/>
    </row>
    <row r="4" customFormat="false" ht="23.85" hidden="false" customHeight="true" outlineLevel="0" collapsed="false">
      <c r="B4" s="2" t="s">
        <v>1</v>
      </c>
      <c r="C4" s="3" t="s">
        <v>2</v>
      </c>
      <c r="D4" s="3"/>
      <c r="E4" s="3"/>
      <c r="F4" s="2" t="s">
        <v>3</v>
      </c>
      <c r="G4" s="3" t="s">
        <v>4</v>
      </c>
    </row>
    <row r="5" customFormat="false" ht="15" hidden="false" customHeight="true" outlineLevel="0" collapsed="false">
      <c r="B5" s="2" t="s">
        <v>5</v>
      </c>
      <c r="C5" s="3" t="s">
        <v>6</v>
      </c>
      <c r="D5" s="3"/>
      <c r="E5" s="3"/>
      <c r="F5" s="2" t="s">
        <v>7</v>
      </c>
      <c r="G5" s="3" t="s">
        <v>8</v>
      </c>
    </row>
    <row r="6" customFormat="false" ht="15" hidden="false" customHeight="true" outlineLevel="0" collapsed="false">
      <c r="B6" s="2" t="s">
        <v>9</v>
      </c>
      <c r="C6" s="3" t="s">
        <v>10</v>
      </c>
      <c r="D6" s="3"/>
      <c r="E6" s="3"/>
      <c r="F6" s="2" t="s">
        <v>11</v>
      </c>
      <c r="G6" s="3" t="s">
        <v>12</v>
      </c>
    </row>
    <row r="7" customFormat="false" ht="15" hidden="false" customHeight="false" outlineLevel="0" collapsed="false">
      <c r="D7" s="2" t="s">
        <v>13</v>
      </c>
      <c r="E7" s="3" t="s">
        <v>14</v>
      </c>
    </row>
    <row r="10" customFormat="false" ht="26.85" hidden="false" customHeight="false" outlineLevel="0" collapsed="false">
      <c r="B10" s="4" t="s">
        <v>15</v>
      </c>
    </row>
    <row r="11" customFormat="false" ht="15" hidden="false" customHeight="false" outlineLevel="0" collapsed="false">
      <c r="B11" s="5" t="s">
        <v>16</v>
      </c>
      <c r="C11" s="5" t="s">
        <v>13</v>
      </c>
      <c r="D11" s="5" t="s">
        <v>17</v>
      </c>
      <c r="E11" s="5" t="s">
        <v>18</v>
      </c>
      <c r="F11" s="5" t="s">
        <v>19</v>
      </c>
      <c r="G11" s="5" t="s">
        <v>20</v>
      </c>
    </row>
    <row r="12" customFormat="false" ht="35.05" hidden="false" customHeight="false" outlineLevel="0" collapsed="false">
      <c r="B12" s="3" t="s">
        <v>12</v>
      </c>
      <c r="C12" s="3" t="s">
        <v>14</v>
      </c>
      <c r="D12" s="3" t="s">
        <v>21</v>
      </c>
      <c r="E12" s="3" t="s">
        <v>22</v>
      </c>
      <c r="F12" s="3" t="s">
        <v>23</v>
      </c>
      <c r="G12" s="3" t="s">
        <v>24</v>
      </c>
    </row>
    <row r="14" customFormat="false" ht="22.35" hidden="false" customHeight="false" outlineLevel="0" collapsed="false">
      <c r="B14" s="6" t="s">
        <v>25</v>
      </c>
    </row>
  </sheetData>
  <mergeCells count="4">
    <mergeCell ref="B2:G2"/>
    <mergeCell ref="C4:E4"/>
    <mergeCell ref="C5:E5"/>
    <mergeCell ref="C6:E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34"/>
    <col collapsed="false" customWidth="true" hidden="false" outlineLevel="0" max="4" min="4" style="0" width="22"/>
    <col collapsed="false" customWidth="true" hidden="false" outlineLevel="0" max="5" min="5" style="0" width="50"/>
    <col collapsed="false" customWidth="true" hidden="false" outlineLevel="0" max="6" min="6" style="0" width="46"/>
  </cols>
  <sheetData>
    <row r="2" customFormat="false" ht="19.7" hidden="false" customHeight="true" outlineLevel="0" collapsed="false">
      <c r="B2" s="7" t="s">
        <v>26</v>
      </c>
      <c r="C2" s="7"/>
      <c r="D2" s="7"/>
      <c r="E2" s="7"/>
      <c r="F2" s="7"/>
    </row>
    <row r="4" customFormat="false" ht="15" hidden="false" customHeight="true" outlineLevel="0" collapsed="false">
      <c r="B4" s="2" t="s">
        <v>1</v>
      </c>
      <c r="C4" s="2"/>
      <c r="D4" s="3" t="s">
        <v>2</v>
      </c>
      <c r="E4" s="3"/>
      <c r="F4" s="3"/>
    </row>
    <row r="5" customFormat="false" ht="15" hidden="false" customHeight="true" outlineLevel="0" collapsed="false">
      <c r="B5" s="2" t="s">
        <v>5</v>
      </c>
      <c r="C5" s="2"/>
      <c r="D5" s="3" t="s">
        <v>6</v>
      </c>
      <c r="E5" s="3"/>
      <c r="F5" s="3"/>
    </row>
    <row r="6" customFormat="false" ht="150" hidden="false" customHeight="true" outlineLevel="0" collapsed="false">
      <c r="B6" s="2" t="s">
        <v>27</v>
      </c>
      <c r="C6" s="2"/>
      <c r="D6" s="3" t="s">
        <v>28</v>
      </c>
      <c r="E6" s="3"/>
      <c r="F6" s="3"/>
    </row>
    <row r="8" customFormat="false" ht="15" hidden="false" customHeight="false" outlineLevel="0" collapsed="false">
      <c r="B8" s="5" t="s">
        <v>29</v>
      </c>
      <c r="C8" s="5" t="s">
        <v>30</v>
      </c>
      <c r="D8" s="5" t="s">
        <v>31</v>
      </c>
      <c r="E8" s="5" t="s">
        <v>32</v>
      </c>
      <c r="F8" s="5" t="s">
        <v>33</v>
      </c>
    </row>
    <row r="9" customFormat="false" ht="45" hidden="false" customHeight="true" outlineLevel="0" collapsed="false">
      <c r="B9" s="8" t="n">
        <v>1</v>
      </c>
      <c r="C9" s="3" t="s">
        <v>34</v>
      </c>
      <c r="D9" s="9" t="s">
        <v>35</v>
      </c>
      <c r="E9" s="3" t="s">
        <v>36</v>
      </c>
      <c r="F9" s="3" t="s">
        <v>37</v>
      </c>
    </row>
  </sheetData>
  <mergeCells count="7">
    <mergeCell ref="B2:F2"/>
    <mergeCell ref="B4:C4"/>
    <mergeCell ref="D4:F4"/>
    <mergeCell ref="B5:C5"/>
    <mergeCell ref="D5:F5"/>
    <mergeCell ref="B6:C6"/>
    <mergeCell ref="D6:F6"/>
  </mergeCells>
  <hyperlinks>
    <hyperlink ref="D9" r:id="rId1" location="'Events'!A1" display="Event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22"/>
    <col collapsed="false" customWidth="true" hidden="false" outlineLevel="0" max="4" min="4" style="0" width="38"/>
    <col collapsed="false" customWidth="true" hidden="false" outlineLevel="0" max="5" min="5" style="0" width="22"/>
    <col collapsed="false" customWidth="true" hidden="false" outlineLevel="0" max="6" min="6" style="0" width="38"/>
    <col collapsed="false" customWidth="true" hidden="false" outlineLevel="0" max="7" min="7" style="0" width="30"/>
    <col collapsed="false" customWidth="true" hidden="false" outlineLevel="0" max="8" min="8" style="0" width="26"/>
  </cols>
  <sheetData>
    <row r="2" customFormat="false" ht="17.35" hidden="false" customHeight="true" outlineLevel="0" collapsed="false">
      <c r="B2" s="10" t="s">
        <v>38</v>
      </c>
      <c r="C2" s="10"/>
      <c r="D2" s="10"/>
      <c r="E2" s="10"/>
      <c r="F2" s="10"/>
      <c r="G2" s="10"/>
      <c r="H2" s="10"/>
    </row>
    <row r="3" customFormat="false" ht="15" hidden="false" customHeight="true" outlineLevel="0" collapsed="false">
      <c r="B3" s="11" t="s">
        <v>39</v>
      </c>
      <c r="C3" s="11"/>
      <c r="D3" s="11"/>
      <c r="E3" s="11"/>
      <c r="F3" s="11"/>
      <c r="G3" s="11"/>
      <c r="H3" s="11"/>
    </row>
    <row r="5" customFormat="false" ht="15" hidden="false" customHeight="false" outlineLevel="0" collapsed="false">
      <c r="B5" s="5" t="s">
        <v>29</v>
      </c>
      <c r="C5" s="5" t="s">
        <v>40</v>
      </c>
      <c r="D5" s="5" t="s">
        <v>41</v>
      </c>
      <c r="E5" s="5" t="s">
        <v>42</v>
      </c>
      <c r="F5" s="5" t="s">
        <v>43</v>
      </c>
      <c r="G5" s="5" t="s">
        <v>44</v>
      </c>
      <c r="H5" s="5" t="s">
        <v>45</v>
      </c>
    </row>
    <row r="6" customFormat="false" ht="42" hidden="false" customHeight="true" outlineLevel="0" collapsed="false">
      <c r="B6" s="8" t="n">
        <v>1</v>
      </c>
      <c r="C6" s="3" t="s">
        <v>35</v>
      </c>
      <c r="D6" s="3" t="s">
        <v>46</v>
      </c>
      <c r="E6" s="3" t="s">
        <v>47</v>
      </c>
      <c r="F6" s="3" t="s">
        <v>48</v>
      </c>
      <c r="G6" s="3" t="s">
        <v>49</v>
      </c>
      <c r="H6" s="3" t="s">
        <v>50</v>
      </c>
    </row>
    <row r="7" customFormat="false" ht="42" hidden="false" customHeight="true" outlineLevel="0" collapsed="false">
      <c r="B7" s="8" t="n">
        <v>2</v>
      </c>
      <c r="C7" s="3" t="s">
        <v>35</v>
      </c>
      <c r="D7" s="3" t="s">
        <v>51</v>
      </c>
      <c r="E7" s="3" t="s">
        <v>52</v>
      </c>
      <c r="F7" s="3" t="s">
        <v>53</v>
      </c>
      <c r="G7" s="3" t="s">
        <v>54</v>
      </c>
      <c r="H7" s="3" t="s">
        <v>55</v>
      </c>
    </row>
    <row r="8" customFormat="false" ht="42" hidden="false" customHeight="true" outlineLevel="0" collapsed="false">
      <c r="B8" s="8" t="n">
        <v>3</v>
      </c>
      <c r="C8" s="3" t="s">
        <v>35</v>
      </c>
      <c r="D8" s="3" t="s">
        <v>56</v>
      </c>
      <c r="E8" s="3" t="s">
        <v>57</v>
      </c>
      <c r="F8" s="3" t="s">
        <v>58</v>
      </c>
      <c r="G8" s="3" t="s">
        <v>59</v>
      </c>
      <c r="H8" s="3" t="s">
        <v>60</v>
      </c>
    </row>
    <row r="9" customFormat="false" ht="42" hidden="false" customHeight="true" outlineLevel="0" collapsed="false">
      <c r="B9" s="8" t="n">
        <v>4</v>
      </c>
      <c r="C9" s="3" t="s">
        <v>35</v>
      </c>
      <c r="D9" s="3" t="s">
        <v>61</v>
      </c>
      <c r="E9" s="3" t="s">
        <v>62</v>
      </c>
      <c r="F9" s="3" t="s">
        <v>63</v>
      </c>
      <c r="G9" s="3" t="s">
        <v>64</v>
      </c>
      <c r="H9" s="3" t="s">
        <v>65</v>
      </c>
    </row>
    <row r="10" customFormat="false" ht="42" hidden="false" customHeight="true" outlineLevel="0" collapsed="false">
      <c r="B10" s="8" t="n">
        <v>5</v>
      </c>
      <c r="C10" s="3" t="s">
        <v>35</v>
      </c>
      <c r="D10" s="3" t="s">
        <v>66</v>
      </c>
      <c r="E10" s="3" t="s">
        <v>67</v>
      </c>
      <c r="F10" s="3" t="s">
        <v>68</v>
      </c>
      <c r="G10" s="3" t="s">
        <v>69</v>
      </c>
      <c r="H10" s="3" t="s">
        <v>70</v>
      </c>
    </row>
    <row r="11" customFormat="false" ht="42" hidden="false" customHeight="true" outlineLevel="0" collapsed="false">
      <c r="B11" s="8" t="n">
        <v>6</v>
      </c>
      <c r="C11" s="3" t="s">
        <v>35</v>
      </c>
      <c r="D11" s="3" t="s">
        <v>71</v>
      </c>
      <c r="E11" s="3" t="s">
        <v>72</v>
      </c>
      <c r="F11" s="3" t="s">
        <v>73</v>
      </c>
      <c r="G11" s="3" t="s">
        <v>74</v>
      </c>
      <c r="H11" s="3" t="s">
        <v>75</v>
      </c>
    </row>
  </sheetData>
  <mergeCells count="2">
    <mergeCell ref="B2:H2"/>
    <mergeCell ref="B3:H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34"/>
    <col collapsed="false" customWidth="true" hidden="false" outlineLevel="0" max="4" min="4" style="0" width="58"/>
    <col collapsed="false" customWidth="true" hidden="false" outlineLevel="0" max="5" min="5" style="0" width="50"/>
    <col collapsed="false" customWidth="true" hidden="false" outlineLevel="0" max="6" min="6" style="0" width="18"/>
    <col collapsed="false" customWidth="true" hidden="false" outlineLevel="0" max="7" min="7" style="0" width="11"/>
    <col collapsed="false" customWidth="true" hidden="false" outlineLevel="0" max="8" min="8" style="0" width="12"/>
    <col collapsed="false" customWidth="true" hidden="false" outlineLevel="0" max="9" min="9" style="0" width="34"/>
  </cols>
  <sheetData>
    <row r="2" customFormat="false" ht="15" hidden="false" customHeight="true" outlineLevel="0" collapsed="false">
      <c r="B2" s="2" t="s">
        <v>76</v>
      </c>
      <c r="C2" s="3" t="s">
        <v>77</v>
      </c>
      <c r="D2" s="3"/>
      <c r="E2" s="3"/>
    </row>
    <row r="3" customFormat="false" ht="30" hidden="false" customHeight="true" outlineLevel="0" collapsed="false">
      <c r="B3" s="2" t="s">
        <v>78</v>
      </c>
      <c r="C3" s="3" t="s">
        <v>79</v>
      </c>
      <c r="D3" s="3"/>
      <c r="E3" s="3"/>
    </row>
    <row r="4" customFormat="false" ht="15" hidden="false" customHeight="true" outlineLevel="0" collapsed="false">
      <c r="B4" s="2" t="s">
        <v>80</v>
      </c>
      <c r="C4" s="3" t="s">
        <v>4</v>
      </c>
      <c r="D4" s="3"/>
      <c r="E4" s="3"/>
    </row>
    <row r="5" customFormat="false" ht="23.85" hidden="false" customHeight="false" outlineLevel="0" collapsed="false">
      <c r="B5" s="12" t="s">
        <v>81</v>
      </c>
      <c r="C5" s="12" t="s">
        <v>82</v>
      </c>
      <c r="D5" s="12" t="s">
        <v>83</v>
      </c>
      <c r="E5" s="12" t="s">
        <v>84</v>
      </c>
      <c r="F5" s="12" t="s">
        <v>85</v>
      </c>
      <c r="G5" s="12" t="s">
        <v>86</v>
      </c>
    </row>
    <row r="6" customFormat="false" ht="15" hidden="false" customHeight="false" outlineLevel="0" collapsed="false">
      <c r="B6" s="8" t="n">
        <f aca="false">COUNTIF($G$9:$G$31,"Passed")</f>
        <v>22</v>
      </c>
      <c r="C6" s="8" t="n">
        <f aca="false">COUNTIF($G$9:$G$31,"Failed")</f>
        <v>1</v>
      </c>
      <c r="D6" s="8" t="n">
        <f aca="false">COUNTIF($G$9:$G$31,"Untested")</f>
        <v>0</v>
      </c>
      <c r="E6" s="8" t="n">
        <f aca="false">COUNTIF($G$9:$G$31,"Blocked")</f>
        <v>0</v>
      </c>
      <c r="F6" s="8" t="n">
        <f aca="false">COUNTIF($G$9:$G$31,"Skipped")</f>
        <v>0</v>
      </c>
      <c r="G6" s="13" t="n">
        <f aca="false">COUNTA($B$9:$B$31)</f>
        <v>23</v>
      </c>
    </row>
    <row r="8" customFormat="false" ht="23.85" hidden="false" customHeight="false" outlineLevel="0" collapsed="false">
      <c r="B8" s="5" t="s">
        <v>87</v>
      </c>
      <c r="C8" s="5" t="s">
        <v>88</v>
      </c>
      <c r="D8" s="5" t="s">
        <v>89</v>
      </c>
      <c r="E8" s="5" t="s">
        <v>90</v>
      </c>
      <c r="F8" s="5" t="s">
        <v>91</v>
      </c>
      <c r="G8" s="5" t="s">
        <v>92</v>
      </c>
      <c r="H8" s="5" t="s">
        <v>93</v>
      </c>
      <c r="I8" s="5" t="s">
        <v>94</v>
      </c>
    </row>
    <row r="9" customFormat="false" ht="120" hidden="false" customHeight="true" outlineLevel="0" collapsed="false">
      <c r="B9" s="13" t="s">
        <v>95</v>
      </c>
      <c r="C9" s="3" t="s">
        <v>96</v>
      </c>
      <c r="D9" s="3" t="s">
        <v>97</v>
      </c>
      <c r="E9" s="3" t="s">
        <v>98</v>
      </c>
      <c r="F9" s="3"/>
      <c r="G9" s="8" t="s">
        <v>81</v>
      </c>
      <c r="H9" s="8" t="s">
        <v>12</v>
      </c>
      <c r="I9" s="3"/>
    </row>
    <row r="10" customFormat="false" ht="195" hidden="false" customHeight="true" outlineLevel="0" collapsed="false">
      <c r="B10" s="13" t="s">
        <v>99</v>
      </c>
      <c r="C10" s="3" t="s">
        <v>100</v>
      </c>
      <c r="D10" s="3" t="s">
        <v>101</v>
      </c>
      <c r="E10" s="3" t="s">
        <v>102</v>
      </c>
      <c r="F10" s="3"/>
      <c r="G10" s="8" t="s">
        <v>81</v>
      </c>
      <c r="H10" s="8" t="s">
        <v>12</v>
      </c>
      <c r="I10" s="3"/>
    </row>
    <row r="11" customFormat="false" ht="120" hidden="false" customHeight="true" outlineLevel="0" collapsed="false">
      <c r="B11" s="13" t="s">
        <v>103</v>
      </c>
      <c r="C11" s="3" t="s">
        <v>104</v>
      </c>
      <c r="D11" s="3" t="s">
        <v>105</v>
      </c>
      <c r="E11" s="3" t="s">
        <v>106</v>
      </c>
      <c r="F11" s="3"/>
      <c r="G11" s="8" t="s">
        <v>81</v>
      </c>
      <c r="H11" s="8" t="s">
        <v>12</v>
      </c>
      <c r="I11" s="3"/>
    </row>
    <row r="12" customFormat="false" ht="165" hidden="false" customHeight="true" outlineLevel="0" collapsed="false">
      <c r="B12" s="13" t="s">
        <v>107</v>
      </c>
      <c r="C12" s="3" t="s">
        <v>108</v>
      </c>
      <c r="D12" s="3" t="s">
        <v>109</v>
      </c>
      <c r="E12" s="3" t="s">
        <v>110</v>
      </c>
      <c r="F12" s="3"/>
      <c r="G12" s="8" t="s">
        <v>81</v>
      </c>
      <c r="H12" s="8" t="s">
        <v>12</v>
      </c>
      <c r="I12" s="3"/>
    </row>
    <row r="13" customFormat="false" ht="165" hidden="false" customHeight="true" outlineLevel="0" collapsed="false">
      <c r="B13" s="13" t="s">
        <v>111</v>
      </c>
      <c r="C13" s="3" t="s">
        <v>112</v>
      </c>
      <c r="D13" s="3" t="s">
        <v>113</v>
      </c>
      <c r="E13" s="3" t="s">
        <v>114</v>
      </c>
      <c r="F13" s="3"/>
      <c r="G13" s="8" t="s">
        <v>81</v>
      </c>
      <c r="H13" s="8" t="s">
        <v>12</v>
      </c>
      <c r="I13" s="3" t="s">
        <v>115</v>
      </c>
    </row>
    <row r="14" customFormat="false" ht="150" hidden="false" customHeight="true" outlineLevel="0" collapsed="false">
      <c r="B14" s="13" t="s">
        <v>116</v>
      </c>
      <c r="C14" s="3" t="s">
        <v>117</v>
      </c>
      <c r="D14" s="3" t="s">
        <v>118</v>
      </c>
      <c r="E14" s="3" t="s">
        <v>119</v>
      </c>
      <c r="F14" s="3"/>
      <c r="G14" s="8" t="s">
        <v>81</v>
      </c>
      <c r="H14" s="8" t="s">
        <v>12</v>
      </c>
      <c r="I14" s="3" t="s">
        <v>115</v>
      </c>
    </row>
    <row r="15" customFormat="false" ht="150" hidden="false" customHeight="true" outlineLevel="0" collapsed="false">
      <c r="B15" s="13" t="s">
        <v>120</v>
      </c>
      <c r="C15" s="3" t="s">
        <v>121</v>
      </c>
      <c r="D15" s="3" t="s">
        <v>122</v>
      </c>
      <c r="E15" s="3" t="s">
        <v>123</v>
      </c>
      <c r="F15" s="3"/>
      <c r="G15" s="8" t="s">
        <v>81</v>
      </c>
      <c r="H15" s="8" t="s">
        <v>12</v>
      </c>
      <c r="I15" s="3"/>
    </row>
    <row r="16" customFormat="false" ht="150" hidden="false" customHeight="true" outlineLevel="0" collapsed="false">
      <c r="B16" s="13" t="s">
        <v>124</v>
      </c>
      <c r="C16" s="3" t="s">
        <v>125</v>
      </c>
      <c r="D16" s="3" t="s">
        <v>126</v>
      </c>
      <c r="E16" s="3" t="s">
        <v>127</v>
      </c>
      <c r="F16" s="3"/>
      <c r="G16" s="8" t="s">
        <v>81</v>
      </c>
      <c r="H16" s="8" t="s">
        <v>12</v>
      </c>
      <c r="I16" s="3"/>
    </row>
    <row r="17" customFormat="false" ht="180" hidden="false" customHeight="true" outlineLevel="0" collapsed="false">
      <c r="B17" s="13" t="s">
        <v>128</v>
      </c>
      <c r="C17" s="3" t="s">
        <v>129</v>
      </c>
      <c r="D17" s="3" t="s">
        <v>130</v>
      </c>
      <c r="E17" s="3" t="s">
        <v>131</v>
      </c>
      <c r="F17" s="3" t="s">
        <v>99</v>
      </c>
      <c r="G17" s="8" t="s">
        <v>82</v>
      </c>
      <c r="H17" s="8" t="s">
        <v>12</v>
      </c>
      <c r="I17" s="3" t="s">
        <v>132</v>
      </c>
    </row>
    <row r="18" customFormat="false" ht="195" hidden="false" customHeight="true" outlineLevel="0" collapsed="false">
      <c r="B18" s="13" t="s">
        <v>133</v>
      </c>
      <c r="C18" s="3" t="s">
        <v>134</v>
      </c>
      <c r="D18" s="3" t="s">
        <v>135</v>
      </c>
      <c r="E18" s="3" t="s">
        <v>136</v>
      </c>
      <c r="F18" s="3"/>
      <c r="G18" s="8" t="s">
        <v>81</v>
      </c>
      <c r="H18" s="8" t="s">
        <v>12</v>
      </c>
      <c r="I18" s="3" t="s">
        <v>115</v>
      </c>
    </row>
    <row r="19" customFormat="false" ht="195" hidden="false" customHeight="true" outlineLevel="0" collapsed="false">
      <c r="B19" s="13" t="s">
        <v>137</v>
      </c>
      <c r="C19" s="3" t="s">
        <v>138</v>
      </c>
      <c r="D19" s="3" t="s">
        <v>139</v>
      </c>
      <c r="E19" s="3" t="s">
        <v>140</v>
      </c>
      <c r="F19" s="3"/>
      <c r="G19" s="8" t="s">
        <v>81</v>
      </c>
      <c r="H19" s="8" t="s">
        <v>12</v>
      </c>
      <c r="I19" s="3"/>
    </row>
    <row r="20" customFormat="false" ht="165" hidden="false" customHeight="true" outlineLevel="0" collapsed="false">
      <c r="B20" s="13" t="s">
        <v>141</v>
      </c>
      <c r="C20" s="3" t="s">
        <v>142</v>
      </c>
      <c r="D20" s="3" t="s">
        <v>143</v>
      </c>
      <c r="E20" s="3" t="s">
        <v>144</v>
      </c>
      <c r="F20" s="3"/>
      <c r="G20" s="8" t="s">
        <v>81</v>
      </c>
      <c r="H20" s="8" t="s">
        <v>12</v>
      </c>
      <c r="I20" s="3"/>
    </row>
    <row r="21" customFormat="false" ht="135" hidden="false" customHeight="true" outlineLevel="0" collapsed="false">
      <c r="B21" s="13" t="s">
        <v>145</v>
      </c>
      <c r="C21" s="3" t="s">
        <v>146</v>
      </c>
      <c r="D21" s="3" t="s">
        <v>147</v>
      </c>
      <c r="E21" s="3" t="s">
        <v>148</v>
      </c>
      <c r="F21" s="3" t="s">
        <v>99</v>
      </c>
      <c r="G21" s="8" t="s">
        <v>81</v>
      </c>
      <c r="H21" s="8" t="s">
        <v>12</v>
      </c>
      <c r="I21" s="3"/>
    </row>
    <row r="22" customFormat="false" ht="150" hidden="false" customHeight="true" outlineLevel="0" collapsed="false">
      <c r="B22" s="13" t="s">
        <v>149</v>
      </c>
      <c r="C22" s="3" t="s">
        <v>150</v>
      </c>
      <c r="D22" s="3" t="s">
        <v>151</v>
      </c>
      <c r="E22" s="3" t="s">
        <v>152</v>
      </c>
      <c r="F22" s="3"/>
      <c r="G22" s="8" t="s">
        <v>81</v>
      </c>
      <c r="H22" s="8" t="s">
        <v>12</v>
      </c>
      <c r="I22" s="3"/>
    </row>
    <row r="23" customFormat="false" ht="120" hidden="false" customHeight="true" outlineLevel="0" collapsed="false">
      <c r="B23" s="13" t="s">
        <v>153</v>
      </c>
      <c r="C23" s="3" t="s">
        <v>154</v>
      </c>
      <c r="D23" s="3" t="s">
        <v>155</v>
      </c>
      <c r="E23" s="3" t="s">
        <v>156</v>
      </c>
      <c r="F23" s="3" t="s">
        <v>137</v>
      </c>
      <c r="G23" s="8" t="s">
        <v>81</v>
      </c>
      <c r="H23" s="8" t="s">
        <v>12</v>
      </c>
      <c r="I23" s="3"/>
    </row>
    <row r="24" customFormat="false" ht="105" hidden="false" customHeight="true" outlineLevel="0" collapsed="false">
      <c r="B24" s="13" t="s">
        <v>157</v>
      </c>
      <c r="C24" s="3" t="s">
        <v>158</v>
      </c>
      <c r="D24" s="3" t="s">
        <v>159</v>
      </c>
      <c r="E24" s="3" t="s">
        <v>160</v>
      </c>
      <c r="F24" s="3" t="s">
        <v>145</v>
      </c>
      <c r="G24" s="8" t="s">
        <v>81</v>
      </c>
      <c r="H24" s="8" t="s">
        <v>12</v>
      </c>
      <c r="I24" s="3"/>
    </row>
    <row r="25" customFormat="false" ht="105" hidden="false" customHeight="true" outlineLevel="0" collapsed="false">
      <c r="B25" s="13" t="s">
        <v>161</v>
      </c>
      <c r="C25" s="3" t="s">
        <v>162</v>
      </c>
      <c r="D25" s="3" t="s">
        <v>163</v>
      </c>
      <c r="E25" s="3" t="s">
        <v>164</v>
      </c>
      <c r="F25" s="3"/>
      <c r="G25" s="8" t="s">
        <v>81</v>
      </c>
      <c r="H25" s="8" t="s">
        <v>12</v>
      </c>
      <c r="I25" s="3"/>
    </row>
    <row r="26" customFormat="false" ht="120" hidden="false" customHeight="true" outlineLevel="0" collapsed="false">
      <c r="B26" s="13" t="s">
        <v>165</v>
      </c>
      <c r="C26" s="3" t="s">
        <v>166</v>
      </c>
      <c r="D26" s="3" t="s">
        <v>167</v>
      </c>
      <c r="E26" s="3" t="s">
        <v>168</v>
      </c>
      <c r="F26" s="3" t="s">
        <v>99</v>
      </c>
      <c r="G26" s="8" t="s">
        <v>81</v>
      </c>
      <c r="H26" s="8" t="s">
        <v>12</v>
      </c>
      <c r="I26" s="3"/>
    </row>
    <row r="27" customFormat="false" ht="180" hidden="false" customHeight="true" outlineLevel="0" collapsed="false">
      <c r="B27" s="13" t="s">
        <v>169</v>
      </c>
      <c r="C27" s="3" t="s">
        <v>170</v>
      </c>
      <c r="D27" s="3" t="s">
        <v>171</v>
      </c>
      <c r="E27" s="3" t="s">
        <v>172</v>
      </c>
      <c r="F27" s="3" t="s">
        <v>99</v>
      </c>
      <c r="G27" s="8" t="s">
        <v>81</v>
      </c>
      <c r="H27" s="8" t="s">
        <v>12</v>
      </c>
      <c r="I27" s="3"/>
    </row>
    <row r="28" customFormat="false" ht="120" hidden="false" customHeight="true" outlineLevel="0" collapsed="false">
      <c r="B28" s="13" t="s">
        <v>173</v>
      </c>
      <c r="C28" s="3" t="s">
        <v>174</v>
      </c>
      <c r="D28" s="3" t="s">
        <v>175</v>
      </c>
      <c r="E28" s="3" t="s">
        <v>176</v>
      </c>
      <c r="F28" s="3" t="s">
        <v>111</v>
      </c>
      <c r="G28" s="8" t="s">
        <v>81</v>
      </c>
      <c r="H28" s="8" t="s">
        <v>12</v>
      </c>
      <c r="I28" s="3"/>
    </row>
    <row r="29" customFormat="false" ht="105" hidden="false" customHeight="true" outlineLevel="0" collapsed="false">
      <c r="B29" s="13" t="s">
        <v>177</v>
      </c>
      <c r="C29" s="3" t="s">
        <v>178</v>
      </c>
      <c r="D29" s="3" t="s">
        <v>179</v>
      </c>
      <c r="E29" s="3" t="s">
        <v>180</v>
      </c>
      <c r="F29" s="3" t="s">
        <v>111</v>
      </c>
      <c r="G29" s="8" t="s">
        <v>81</v>
      </c>
      <c r="H29" s="8" t="s">
        <v>12</v>
      </c>
      <c r="I29" s="3"/>
    </row>
    <row r="30" customFormat="false" ht="105" hidden="false" customHeight="true" outlineLevel="0" collapsed="false">
      <c r="B30" s="13" t="s">
        <v>181</v>
      </c>
      <c r="C30" s="3" t="s">
        <v>182</v>
      </c>
      <c r="D30" s="3" t="s">
        <v>183</v>
      </c>
      <c r="E30" s="3" t="s">
        <v>184</v>
      </c>
      <c r="F30" s="3" t="s">
        <v>177</v>
      </c>
      <c r="G30" s="8" t="s">
        <v>81</v>
      </c>
      <c r="H30" s="8" t="s">
        <v>12</v>
      </c>
      <c r="I30" s="3"/>
    </row>
    <row r="31" customFormat="false" ht="135" hidden="false" customHeight="true" outlineLevel="0" collapsed="false">
      <c r="B31" s="13" t="s">
        <v>185</v>
      </c>
      <c r="C31" s="3" t="s">
        <v>186</v>
      </c>
      <c r="D31" s="3" t="s">
        <v>187</v>
      </c>
      <c r="E31" s="3" t="s">
        <v>188</v>
      </c>
      <c r="F31" s="3"/>
      <c r="G31" s="8" t="s">
        <v>81</v>
      </c>
      <c r="H31" s="8" t="s">
        <v>12</v>
      </c>
      <c r="I31" s="3"/>
    </row>
  </sheetData>
  <mergeCells count="3">
    <mergeCell ref="C2:E2"/>
    <mergeCell ref="C3:E3"/>
    <mergeCell ref="C4:E4"/>
  </mergeCells>
  <conditionalFormatting sqref="G9:G31">
    <cfRule type="cellIs" priority="2" operator="equal" aboveAverage="0" equalAverage="0" bottom="0" percent="0" rank="0" text="" dxfId="0">
      <formula>"Passed"</formula>
    </cfRule>
    <cfRule type="cellIs" priority="3" operator="equal" aboveAverage="0" equalAverage="0" bottom="0" percent="0" rank="0" text="" dxfId="1">
      <formula>"Failed"</formula>
    </cfRule>
  </conditionalFormatting>
  <dataValidations count="1">
    <dataValidation allowBlank="true" errorStyle="stop" operator="between" showDropDown="false" showErrorMessage="false" showInputMessage="false" sqref="G9:G31" type="list">
      <formula1>"Passed,Failed,Untested,Blocked,Skipped"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26"/>
    <col collapsed="false" customWidth="true" hidden="false" outlineLevel="0" max="8" min="4" style="0" width="11"/>
    <col collapsed="false" customWidth="true" hidden="false" outlineLevel="0" max="9" min="9" style="0" width="16"/>
  </cols>
  <sheetData>
    <row r="2" customFormat="false" ht="19.7" hidden="false" customHeight="true" outlineLevel="0" collapsed="false">
      <c r="B2" s="7" t="s">
        <v>189</v>
      </c>
      <c r="C2" s="7"/>
      <c r="D2" s="7"/>
      <c r="E2" s="7"/>
      <c r="F2" s="7"/>
      <c r="G2" s="7"/>
      <c r="H2" s="7"/>
      <c r="I2" s="7"/>
    </row>
    <row r="4" customFormat="false" ht="15" hidden="false" customHeight="true" outlineLevel="0" collapsed="false">
      <c r="B4" s="2" t="s">
        <v>1</v>
      </c>
      <c r="C4" s="2"/>
      <c r="D4" s="3" t="s">
        <v>2</v>
      </c>
      <c r="E4" s="3"/>
      <c r="F4" s="3"/>
      <c r="G4" s="3"/>
      <c r="H4" s="3"/>
      <c r="I4" s="3"/>
    </row>
    <row r="5" customFormat="false" ht="15" hidden="false" customHeight="true" outlineLevel="0" collapsed="false">
      <c r="B5" s="2" t="s">
        <v>5</v>
      </c>
      <c r="C5" s="2"/>
      <c r="D5" s="3" t="s">
        <v>6</v>
      </c>
      <c r="E5" s="3"/>
      <c r="F5" s="3"/>
      <c r="G5" s="3"/>
      <c r="H5" s="3"/>
      <c r="I5" s="3"/>
    </row>
    <row r="6" customFormat="false" ht="15" hidden="false" customHeight="true" outlineLevel="0" collapsed="false">
      <c r="B6" s="2" t="s">
        <v>9</v>
      </c>
      <c r="C6" s="2"/>
      <c r="D6" s="3" t="s">
        <v>10</v>
      </c>
      <c r="E6" s="3"/>
      <c r="F6" s="3"/>
      <c r="G6" s="3"/>
      <c r="H6" s="3"/>
      <c r="I6" s="3"/>
    </row>
    <row r="7" customFormat="false" ht="15" hidden="false" customHeight="true" outlineLevel="0" collapsed="false">
      <c r="B7" s="2" t="s">
        <v>190</v>
      </c>
      <c r="C7" s="2"/>
      <c r="D7" s="3" t="s">
        <v>191</v>
      </c>
      <c r="E7" s="3"/>
      <c r="F7" s="3"/>
      <c r="G7" s="3"/>
      <c r="H7" s="3"/>
      <c r="I7" s="3"/>
    </row>
    <row r="9" customFormat="false" ht="23.85" hidden="false" customHeight="false" outlineLevel="0" collapsed="false">
      <c r="B9" s="5" t="s">
        <v>29</v>
      </c>
      <c r="C9" s="5" t="s">
        <v>192</v>
      </c>
      <c r="D9" s="5" t="s">
        <v>81</v>
      </c>
      <c r="E9" s="5" t="s">
        <v>82</v>
      </c>
      <c r="F9" s="5" t="s">
        <v>83</v>
      </c>
      <c r="G9" s="5" t="s">
        <v>84</v>
      </c>
      <c r="H9" s="5" t="s">
        <v>85</v>
      </c>
      <c r="I9" s="5" t="s">
        <v>193</v>
      </c>
    </row>
    <row r="10" customFormat="false" ht="15" hidden="false" customHeight="false" outlineLevel="0" collapsed="false">
      <c r="B10" s="8" t="n">
        <v>1</v>
      </c>
      <c r="C10" s="3" t="s">
        <v>77</v>
      </c>
      <c r="D10" s="8" t="n">
        <f aca="false">Events!B6</f>
        <v>22</v>
      </c>
      <c r="E10" s="8" t="n">
        <f aca="false">Events!C6</f>
        <v>1</v>
      </c>
      <c r="F10" s="8" t="n">
        <f aca="false">Events!D6</f>
        <v>0</v>
      </c>
      <c r="G10" s="8" t="n">
        <f aca="false">Events!E6</f>
        <v>0</v>
      </c>
      <c r="H10" s="8" t="n">
        <f aca="false">Events!F6</f>
        <v>0</v>
      </c>
      <c r="I10" s="8" t="n">
        <f aca="false">Events!G6</f>
        <v>23</v>
      </c>
    </row>
    <row r="11" customFormat="false" ht="15" hidden="false" customHeight="true" outlineLevel="0" collapsed="false">
      <c r="B11" s="12" t="s">
        <v>194</v>
      </c>
      <c r="C11" s="12"/>
      <c r="D11" s="12" t="n">
        <f aca="false">SUM(D10:D10)</f>
        <v>22</v>
      </c>
      <c r="E11" s="12" t="n">
        <f aca="false">SUM(E10:E10)</f>
        <v>1</v>
      </c>
      <c r="F11" s="12" t="n">
        <f aca="false">SUM(F10:F10)</f>
        <v>0</v>
      </c>
      <c r="G11" s="12" t="n">
        <f aca="false">SUM(G10:G10)</f>
        <v>0</v>
      </c>
      <c r="H11" s="12" t="n">
        <f aca="false">SUM(H10:H10)</f>
        <v>0</v>
      </c>
      <c r="I11" s="12" t="n">
        <f aca="false">SUM(I10:I10)</f>
        <v>23</v>
      </c>
    </row>
    <row r="13" customFormat="false" ht="15" hidden="false" customHeight="false" outlineLevel="0" collapsed="false">
      <c r="C13" s="2" t="s">
        <v>195</v>
      </c>
      <c r="D13" s="14" t="n">
        <f aca="false">IF(I11=0,0,(D11+E11)/I11)</f>
        <v>1</v>
      </c>
    </row>
    <row r="14" customFormat="false" ht="15" hidden="false" customHeight="false" outlineLevel="0" collapsed="false">
      <c r="C14" s="2" t="s">
        <v>196</v>
      </c>
      <c r="D14" s="14" t="n">
        <f aca="false">IF(I11=0,0,D11/I11)</f>
        <v>0.956521739130435</v>
      </c>
    </row>
    <row r="16" customFormat="false" ht="15" hidden="false" customHeight="true" outlineLevel="0" collapsed="false">
      <c r="C16" s="11" t="s">
        <v>197</v>
      </c>
      <c r="D16" s="11"/>
      <c r="E16" s="11"/>
      <c r="F16" s="11"/>
      <c r="G16" s="11"/>
      <c r="H16" s="11"/>
      <c r="I16" s="11"/>
    </row>
  </sheetData>
  <mergeCells count="11">
    <mergeCell ref="B2:I2"/>
    <mergeCell ref="B4:C4"/>
    <mergeCell ref="D4:I4"/>
    <mergeCell ref="B5:C5"/>
    <mergeCell ref="D5:I5"/>
    <mergeCell ref="B6:C6"/>
    <mergeCell ref="D6:I6"/>
    <mergeCell ref="B7:C7"/>
    <mergeCell ref="D7:I7"/>
    <mergeCell ref="B11:C11"/>
    <mergeCell ref="C16:I1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9"/>
    <col collapsed="false" customWidth="true" hidden="false" outlineLevel="0" max="3" min="3" style="0" width="24"/>
    <col collapsed="false" customWidth="true" hidden="false" outlineLevel="0" max="4" min="4" style="0" width="14"/>
    <col collapsed="false" customWidth="true" hidden="false" outlineLevel="0" max="5" min="5" style="0" width="40"/>
    <col collapsed="false" customWidth="true" hidden="false" outlineLevel="0" max="6" min="6" style="0" width="46"/>
    <col collapsed="false" customWidth="true" hidden="false" outlineLevel="0" max="7" min="7" style="0" width="34"/>
    <col collapsed="false" customWidth="true" hidden="false" outlineLevel="0" max="8" min="8" style="0" width="40"/>
    <col collapsed="false" customWidth="true" hidden="false" outlineLevel="0" max="10" min="9" style="0" width="10"/>
  </cols>
  <sheetData>
    <row r="2" customFormat="false" ht="19.7" hidden="false" customHeight="true" outlineLevel="0" collapsed="false">
      <c r="B2" s="7" t="s">
        <v>198</v>
      </c>
      <c r="C2" s="7"/>
      <c r="D2" s="7"/>
      <c r="E2" s="7"/>
      <c r="F2" s="7"/>
      <c r="G2" s="7"/>
      <c r="H2" s="7"/>
      <c r="I2" s="7"/>
      <c r="J2" s="7"/>
    </row>
    <row r="4" customFormat="false" ht="15" hidden="false" customHeight="false" outlineLevel="0" collapsed="false">
      <c r="B4" s="5" t="s">
        <v>199</v>
      </c>
      <c r="C4" s="5" t="s">
        <v>45</v>
      </c>
      <c r="D4" s="5" t="s">
        <v>40</v>
      </c>
      <c r="E4" s="5" t="s">
        <v>200</v>
      </c>
      <c r="F4" s="5" t="s">
        <v>201</v>
      </c>
      <c r="G4" s="5" t="s">
        <v>202</v>
      </c>
      <c r="H4" s="5" t="s">
        <v>203</v>
      </c>
      <c r="I4" s="5" t="s">
        <v>204</v>
      </c>
      <c r="J4" s="5" t="s">
        <v>205</v>
      </c>
    </row>
    <row r="5" customFormat="false" ht="75" hidden="false" customHeight="true" outlineLevel="0" collapsed="false">
      <c r="B5" s="8" t="s">
        <v>206</v>
      </c>
      <c r="C5" s="8" t="s">
        <v>207</v>
      </c>
      <c r="D5" s="8" t="s">
        <v>35</v>
      </c>
      <c r="E5" s="3" t="s">
        <v>208</v>
      </c>
      <c r="F5" s="3" t="s">
        <v>209</v>
      </c>
      <c r="G5" s="3" t="s">
        <v>210</v>
      </c>
      <c r="H5" s="3" t="s">
        <v>211</v>
      </c>
      <c r="I5" s="8" t="s">
        <v>212</v>
      </c>
      <c r="J5" s="8" t="s">
        <v>213</v>
      </c>
    </row>
  </sheetData>
  <mergeCells count="1">
    <mergeCell ref="B2:J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30"/>
    <col collapsed="false" customWidth="true" hidden="false" outlineLevel="0" max="4" min="4" style="0" width="70"/>
    <col collapsed="false" customWidth="true" hidden="false" outlineLevel="0" max="5" min="5" style="0" width="16"/>
    <col collapsed="false" customWidth="true" hidden="false" outlineLevel="0" max="6" min="6" style="0" width="14"/>
    <col collapsed="false" customWidth="true" hidden="false" outlineLevel="0" max="7" min="7" style="0" width="30"/>
  </cols>
  <sheetData>
    <row r="2" customFormat="false" ht="17.35" hidden="false" customHeight="true" outlineLevel="0" collapsed="false">
      <c r="B2" s="10" t="s">
        <v>214</v>
      </c>
      <c r="C2" s="10"/>
      <c r="D2" s="10"/>
      <c r="E2" s="10"/>
      <c r="F2" s="10"/>
    </row>
    <row r="4" customFormat="false" ht="102.95" hidden="false" customHeight="false" outlineLevel="0" collapsed="false">
      <c r="B4" s="4" t="s">
        <v>215</v>
      </c>
    </row>
    <row r="5" customFormat="false" ht="15" hidden="false" customHeight="false" outlineLevel="0" collapsed="false">
      <c r="B5" s="5" t="s">
        <v>29</v>
      </c>
      <c r="C5" s="5" t="s">
        <v>216</v>
      </c>
      <c r="D5" s="5" t="s">
        <v>217</v>
      </c>
      <c r="E5" s="5" t="s">
        <v>218</v>
      </c>
      <c r="F5" s="5" t="s">
        <v>205</v>
      </c>
    </row>
    <row r="6" customFormat="false" ht="45" hidden="false" customHeight="true" outlineLevel="0" collapsed="false">
      <c r="B6" s="8" t="n">
        <v>1</v>
      </c>
      <c r="C6" s="15" t="s">
        <v>219</v>
      </c>
      <c r="D6" s="3" t="s">
        <v>220</v>
      </c>
      <c r="E6" s="8" t="s">
        <v>221</v>
      </c>
      <c r="F6" s="8" t="s">
        <v>222</v>
      </c>
    </row>
    <row r="7" customFormat="false" ht="45" hidden="false" customHeight="true" outlineLevel="0" collapsed="false">
      <c r="B7" s="8" t="n">
        <v>2</v>
      </c>
      <c r="C7" s="15" t="s">
        <v>223</v>
      </c>
      <c r="D7" s="3" t="s">
        <v>224</v>
      </c>
      <c r="E7" s="8" t="s">
        <v>221</v>
      </c>
      <c r="F7" s="8" t="s">
        <v>222</v>
      </c>
    </row>
    <row r="8" customFormat="false" ht="45" hidden="false" customHeight="true" outlineLevel="0" collapsed="false">
      <c r="B8" s="8" t="n">
        <v>3</v>
      </c>
      <c r="C8" s="15" t="s">
        <v>225</v>
      </c>
      <c r="D8" s="3" t="s">
        <v>226</v>
      </c>
      <c r="E8" s="8" t="s">
        <v>221</v>
      </c>
      <c r="F8" s="8" t="s">
        <v>222</v>
      </c>
    </row>
    <row r="9" customFormat="false" ht="45" hidden="false" customHeight="true" outlineLevel="0" collapsed="false">
      <c r="B9" s="8" t="n">
        <v>4</v>
      </c>
      <c r="C9" s="15" t="s">
        <v>227</v>
      </c>
      <c r="D9" s="3" t="s">
        <v>228</v>
      </c>
      <c r="E9" s="8" t="s">
        <v>221</v>
      </c>
      <c r="F9" s="8" t="s">
        <v>222</v>
      </c>
    </row>
    <row r="10" customFormat="false" ht="45" hidden="false" customHeight="true" outlineLevel="0" collapsed="false">
      <c r="B10" s="8" t="n">
        <v>5</v>
      </c>
      <c r="C10" s="15" t="s">
        <v>229</v>
      </c>
      <c r="D10" s="3" t="s">
        <v>230</v>
      </c>
      <c r="E10" s="8" t="s">
        <v>221</v>
      </c>
      <c r="F10" s="8" t="s">
        <v>222</v>
      </c>
    </row>
    <row r="11" customFormat="false" ht="45" hidden="false" customHeight="true" outlineLevel="0" collapsed="false">
      <c r="B11" s="8" t="n">
        <v>6</v>
      </c>
      <c r="C11" s="15" t="s">
        <v>231</v>
      </c>
      <c r="D11" s="3" t="s">
        <v>232</v>
      </c>
      <c r="E11" s="8" t="s">
        <v>221</v>
      </c>
      <c r="F11" s="8" t="s">
        <v>222</v>
      </c>
    </row>
    <row r="12" customFormat="false" ht="45" hidden="false" customHeight="true" outlineLevel="0" collapsed="false">
      <c r="B12" s="8" t="n">
        <v>7</v>
      </c>
      <c r="C12" s="15" t="s">
        <v>233</v>
      </c>
      <c r="D12" s="3" t="s">
        <v>234</v>
      </c>
      <c r="E12" s="8" t="s">
        <v>221</v>
      </c>
      <c r="F12" s="8" t="s">
        <v>222</v>
      </c>
    </row>
    <row r="13" customFormat="false" ht="45" hidden="false" customHeight="true" outlineLevel="0" collapsed="false">
      <c r="B13" s="8" t="n">
        <v>8</v>
      </c>
      <c r="C13" s="15" t="s">
        <v>235</v>
      </c>
      <c r="D13" s="3" t="s">
        <v>236</v>
      </c>
      <c r="E13" s="8" t="s">
        <v>221</v>
      </c>
      <c r="F13" s="8" t="s">
        <v>237</v>
      </c>
    </row>
    <row r="14" customFormat="false" ht="45" hidden="false" customHeight="true" outlineLevel="0" collapsed="false">
      <c r="B14" s="8" t="n">
        <v>9</v>
      </c>
      <c r="C14" s="15" t="s">
        <v>238</v>
      </c>
      <c r="D14" s="3" t="s">
        <v>239</v>
      </c>
      <c r="E14" s="8" t="s">
        <v>221</v>
      </c>
      <c r="F14" s="8" t="s">
        <v>237</v>
      </c>
    </row>
    <row r="15" customFormat="false" ht="45" hidden="false" customHeight="true" outlineLevel="0" collapsed="false">
      <c r="B15" s="8" t="n">
        <v>10</v>
      </c>
      <c r="C15" s="15" t="s">
        <v>240</v>
      </c>
      <c r="D15" s="3" t="s">
        <v>241</v>
      </c>
      <c r="E15" s="8" t="s">
        <v>221</v>
      </c>
      <c r="F15" s="8" t="s">
        <v>237</v>
      </c>
    </row>
    <row r="16" customFormat="false" ht="45" hidden="false" customHeight="true" outlineLevel="0" collapsed="false">
      <c r="B16" s="8" t="n">
        <v>11</v>
      </c>
      <c r="C16" s="15" t="s">
        <v>242</v>
      </c>
      <c r="D16" s="3" t="s">
        <v>243</v>
      </c>
      <c r="E16" s="8" t="s">
        <v>221</v>
      </c>
      <c r="F16" s="8" t="s">
        <v>222</v>
      </c>
    </row>
    <row r="17" customFormat="false" ht="45" hidden="false" customHeight="true" outlineLevel="0" collapsed="false">
      <c r="B17" s="8" t="n">
        <v>12</v>
      </c>
      <c r="C17" s="15" t="s">
        <v>244</v>
      </c>
      <c r="D17" s="3" t="s">
        <v>245</v>
      </c>
      <c r="E17" s="8" t="s">
        <v>221</v>
      </c>
      <c r="F17" s="8" t="s">
        <v>246</v>
      </c>
    </row>
    <row r="20" customFormat="false" ht="102.95" hidden="false" customHeight="false" outlineLevel="0" collapsed="false">
      <c r="B20" s="4" t="s">
        <v>247</v>
      </c>
    </row>
    <row r="21" customFormat="false" ht="15" hidden="false" customHeight="true" outlineLevel="0" collapsed="false">
      <c r="B21" s="11" t="s">
        <v>248</v>
      </c>
      <c r="C21" s="11"/>
      <c r="D21" s="11"/>
      <c r="E21" s="11"/>
      <c r="F21" s="11"/>
    </row>
    <row r="22" customFormat="false" ht="15" hidden="false" customHeight="false" outlineLevel="0" collapsed="false">
      <c r="B22" s="5" t="s">
        <v>29</v>
      </c>
      <c r="C22" s="5" t="s">
        <v>249</v>
      </c>
      <c r="D22" s="5" t="s">
        <v>32</v>
      </c>
      <c r="E22" s="5" t="s">
        <v>250</v>
      </c>
      <c r="F22" s="5" t="s">
        <v>251</v>
      </c>
      <c r="G22" s="5" t="s">
        <v>252</v>
      </c>
    </row>
    <row r="23" customFormat="false" ht="15" hidden="false" customHeight="false" outlineLevel="0" collapsed="false">
      <c r="B23" s="8" t="n">
        <v>1</v>
      </c>
      <c r="C23" s="3" t="s">
        <v>95</v>
      </c>
      <c r="D23" s="3" t="s">
        <v>96</v>
      </c>
      <c r="E23" s="8" t="s">
        <v>253</v>
      </c>
      <c r="F23" s="8" t="s">
        <v>254</v>
      </c>
      <c r="G23" s="3" t="s">
        <v>255</v>
      </c>
    </row>
    <row r="24" customFormat="false" ht="15" hidden="false" customHeight="false" outlineLevel="0" collapsed="false">
      <c r="B24" s="8" t="n">
        <v>2</v>
      </c>
      <c r="C24" s="3" t="s">
        <v>99</v>
      </c>
      <c r="D24" s="3" t="s">
        <v>100</v>
      </c>
      <c r="E24" s="8" t="s">
        <v>253</v>
      </c>
      <c r="F24" s="8" t="s">
        <v>256</v>
      </c>
      <c r="G24" s="3" t="s">
        <v>257</v>
      </c>
    </row>
    <row r="25" customFormat="false" ht="15" hidden="false" customHeight="false" outlineLevel="0" collapsed="false">
      <c r="B25" s="8" t="n">
        <v>3</v>
      </c>
      <c r="C25" s="3" t="s">
        <v>103</v>
      </c>
      <c r="D25" s="3" t="s">
        <v>104</v>
      </c>
      <c r="E25" s="8" t="s">
        <v>253</v>
      </c>
      <c r="F25" s="8" t="s">
        <v>256</v>
      </c>
      <c r="G25" s="3" t="s">
        <v>258</v>
      </c>
    </row>
    <row r="26" customFormat="false" ht="15" hidden="false" customHeight="false" outlineLevel="0" collapsed="false">
      <c r="B26" s="8" t="n">
        <v>4</v>
      </c>
      <c r="C26" s="3" t="s">
        <v>107</v>
      </c>
      <c r="D26" s="3" t="s">
        <v>108</v>
      </c>
      <c r="E26" s="8" t="s">
        <v>253</v>
      </c>
      <c r="F26" s="8" t="s">
        <v>254</v>
      </c>
      <c r="G26" s="3" t="s">
        <v>259</v>
      </c>
    </row>
    <row r="27" customFormat="false" ht="15" hidden="false" customHeight="false" outlineLevel="0" collapsed="false">
      <c r="B27" s="8" t="n">
        <v>5</v>
      </c>
      <c r="C27" s="3" t="s">
        <v>111</v>
      </c>
      <c r="D27" s="3" t="s">
        <v>112</v>
      </c>
      <c r="E27" s="8" t="s">
        <v>253</v>
      </c>
      <c r="F27" s="8" t="s">
        <v>254</v>
      </c>
      <c r="G27" s="3" t="s">
        <v>260</v>
      </c>
    </row>
    <row r="28" customFormat="false" ht="15" hidden="false" customHeight="false" outlineLevel="0" collapsed="false">
      <c r="B28" s="8" t="n">
        <v>6</v>
      </c>
      <c r="C28" s="3" t="s">
        <v>116</v>
      </c>
      <c r="D28" s="3" t="s">
        <v>117</v>
      </c>
      <c r="E28" s="8" t="s">
        <v>253</v>
      </c>
      <c r="F28" s="8" t="s">
        <v>254</v>
      </c>
      <c r="G28" s="3" t="s">
        <v>261</v>
      </c>
    </row>
    <row r="29" customFormat="false" ht="15" hidden="false" customHeight="false" outlineLevel="0" collapsed="false">
      <c r="B29" s="8" t="n">
        <v>7</v>
      </c>
      <c r="C29" s="3" t="s">
        <v>120</v>
      </c>
      <c r="D29" s="3" t="s">
        <v>121</v>
      </c>
      <c r="E29" s="8" t="s">
        <v>253</v>
      </c>
      <c r="F29" s="8" t="s">
        <v>256</v>
      </c>
      <c r="G29" s="3" t="s">
        <v>262</v>
      </c>
    </row>
    <row r="30" customFormat="false" ht="15" hidden="false" customHeight="false" outlineLevel="0" collapsed="false">
      <c r="B30" s="8" t="n">
        <v>8</v>
      </c>
      <c r="C30" s="3" t="s">
        <v>124</v>
      </c>
      <c r="D30" s="3" t="s">
        <v>125</v>
      </c>
      <c r="E30" s="8" t="s">
        <v>253</v>
      </c>
      <c r="F30" s="8" t="s">
        <v>254</v>
      </c>
      <c r="G30" s="3" t="s">
        <v>263</v>
      </c>
    </row>
    <row r="31" customFormat="false" ht="15" hidden="false" customHeight="false" outlineLevel="0" collapsed="false">
      <c r="B31" s="8" t="n">
        <v>9</v>
      </c>
      <c r="C31" s="3" t="s">
        <v>128</v>
      </c>
      <c r="D31" s="3" t="s">
        <v>129</v>
      </c>
      <c r="E31" s="8" t="s">
        <v>253</v>
      </c>
      <c r="F31" s="8" t="s">
        <v>254</v>
      </c>
      <c r="G31" s="3" t="s">
        <v>264</v>
      </c>
    </row>
    <row r="32" customFormat="false" ht="15" hidden="false" customHeight="false" outlineLevel="0" collapsed="false">
      <c r="B32" s="8" t="n">
        <v>10</v>
      </c>
      <c r="C32" s="3" t="s">
        <v>133</v>
      </c>
      <c r="D32" s="3" t="s">
        <v>134</v>
      </c>
      <c r="E32" s="8" t="s">
        <v>253</v>
      </c>
      <c r="F32" s="8" t="s">
        <v>265</v>
      </c>
      <c r="G32" s="3" t="s">
        <v>266</v>
      </c>
    </row>
    <row r="33" customFormat="false" ht="15" hidden="false" customHeight="false" outlineLevel="0" collapsed="false">
      <c r="B33" s="8" t="n">
        <v>11</v>
      </c>
      <c r="C33" s="3" t="s">
        <v>137</v>
      </c>
      <c r="D33" s="3" t="s">
        <v>138</v>
      </c>
      <c r="E33" s="8" t="s">
        <v>253</v>
      </c>
      <c r="F33" s="8" t="s">
        <v>254</v>
      </c>
      <c r="G33" s="3" t="s">
        <v>267</v>
      </c>
    </row>
    <row r="34" customFormat="false" ht="15" hidden="false" customHeight="false" outlineLevel="0" collapsed="false">
      <c r="B34" s="8" t="n">
        <v>12</v>
      </c>
      <c r="C34" s="3" t="s">
        <v>141</v>
      </c>
      <c r="D34" s="3" t="s">
        <v>142</v>
      </c>
      <c r="E34" s="8" t="s">
        <v>253</v>
      </c>
      <c r="F34" s="8" t="s">
        <v>265</v>
      </c>
      <c r="G34" s="3" t="s">
        <v>268</v>
      </c>
    </row>
    <row r="35" customFormat="false" ht="15" hidden="false" customHeight="false" outlineLevel="0" collapsed="false">
      <c r="B35" s="8" t="n">
        <v>13</v>
      </c>
      <c r="C35" s="3" t="s">
        <v>145</v>
      </c>
      <c r="D35" s="3" t="s">
        <v>146</v>
      </c>
      <c r="E35" s="8" t="s">
        <v>253</v>
      </c>
      <c r="F35" s="8" t="s">
        <v>256</v>
      </c>
      <c r="G35" s="3" t="s">
        <v>269</v>
      </c>
    </row>
    <row r="36" customFormat="false" ht="15" hidden="false" customHeight="false" outlineLevel="0" collapsed="false">
      <c r="B36" s="8" t="n">
        <v>14</v>
      </c>
      <c r="C36" s="3" t="s">
        <v>149</v>
      </c>
      <c r="D36" s="3" t="s">
        <v>150</v>
      </c>
      <c r="E36" s="8" t="s">
        <v>253</v>
      </c>
      <c r="F36" s="8" t="s">
        <v>254</v>
      </c>
      <c r="G36" s="3" t="s">
        <v>270</v>
      </c>
    </row>
    <row r="37" customFormat="false" ht="15" hidden="false" customHeight="false" outlineLevel="0" collapsed="false">
      <c r="B37" s="8" t="n">
        <v>15</v>
      </c>
      <c r="C37" s="3" t="s">
        <v>153</v>
      </c>
      <c r="D37" s="3" t="s">
        <v>154</v>
      </c>
      <c r="E37" s="8" t="s">
        <v>253</v>
      </c>
      <c r="F37" s="8" t="s">
        <v>254</v>
      </c>
      <c r="G37" s="3" t="s">
        <v>271</v>
      </c>
    </row>
    <row r="38" customFormat="false" ht="15" hidden="false" customHeight="false" outlineLevel="0" collapsed="false">
      <c r="B38" s="8" t="n">
        <v>16</v>
      </c>
      <c r="C38" s="3" t="s">
        <v>157</v>
      </c>
      <c r="D38" s="3" t="s">
        <v>158</v>
      </c>
      <c r="E38" s="8" t="s">
        <v>253</v>
      </c>
      <c r="F38" s="8" t="s">
        <v>265</v>
      </c>
      <c r="G38" s="3" t="s">
        <v>272</v>
      </c>
    </row>
    <row r="39" customFormat="false" ht="15" hidden="false" customHeight="false" outlineLevel="0" collapsed="false">
      <c r="B39" s="8" t="n">
        <v>17</v>
      </c>
      <c r="C39" s="3" t="s">
        <v>161</v>
      </c>
      <c r="D39" s="3" t="s">
        <v>162</v>
      </c>
      <c r="E39" s="8" t="s">
        <v>253</v>
      </c>
      <c r="F39" s="8" t="s">
        <v>265</v>
      </c>
      <c r="G39" s="3" t="s">
        <v>273</v>
      </c>
    </row>
    <row r="40" customFormat="false" ht="15" hidden="false" customHeight="false" outlineLevel="0" collapsed="false">
      <c r="B40" s="8" t="n">
        <v>18</v>
      </c>
      <c r="C40" s="3" t="s">
        <v>165</v>
      </c>
      <c r="D40" s="3" t="s">
        <v>166</v>
      </c>
      <c r="E40" s="8" t="s">
        <v>253</v>
      </c>
      <c r="F40" s="8" t="s">
        <v>254</v>
      </c>
      <c r="G40" s="3" t="s">
        <v>274</v>
      </c>
    </row>
    <row r="41" customFormat="false" ht="15" hidden="false" customHeight="false" outlineLevel="0" collapsed="false">
      <c r="B41" s="8" t="n">
        <v>19</v>
      </c>
      <c r="C41" s="3" t="s">
        <v>169</v>
      </c>
      <c r="D41" s="3" t="s">
        <v>170</v>
      </c>
      <c r="E41" s="8" t="s">
        <v>253</v>
      </c>
      <c r="F41" s="8" t="s">
        <v>256</v>
      </c>
      <c r="G41" s="3" t="s">
        <v>275</v>
      </c>
    </row>
    <row r="42" customFormat="false" ht="15" hidden="false" customHeight="false" outlineLevel="0" collapsed="false">
      <c r="B42" s="8" t="n">
        <v>20</v>
      </c>
      <c r="C42" s="3" t="s">
        <v>173</v>
      </c>
      <c r="D42" s="3" t="s">
        <v>174</v>
      </c>
      <c r="E42" s="8" t="s">
        <v>253</v>
      </c>
      <c r="F42" s="8" t="s">
        <v>254</v>
      </c>
      <c r="G42" s="3" t="s">
        <v>276</v>
      </c>
    </row>
    <row r="43" customFormat="false" ht="15" hidden="false" customHeight="false" outlineLevel="0" collapsed="false">
      <c r="B43" s="8" t="n">
        <v>21</v>
      </c>
      <c r="C43" s="3" t="s">
        <v>177</v>
      </c>
      <c r="D43" s="3" t="s">
        <v>178</v>
      </c>
      <c r="E43" s="8" t="s">
        <v>253</v>
      </c>
      <c r="F43" s="8" t="s">
        <v>254</v>
      </c>
      <c r="G43" s="3" t="s">
        <v>277</v>
      </c>
    </row>
    <row r="44" customFormat="false" ht="15" hidden="false" customHeight="false" outlineLevel="0" collapsed="false">
      <c r="B44" s="8" t="n">
        <v>22</v>
      </c>
      <c r="C44" s="3" t="s">
        <v>181</v>
      </c>
      <c r="D44" s="3" t="s">
        <v>182</v>
      </c>
      <c r="E44" s="8" t="s">
        <v>253</v>
      </c>
      <c r="F44" s="8" t="s">
        <v>256</v>
      </c>
      <c r="G44" s="3" t="s">
        <v>278</v>
      </c>
    </row>
    <row r="45" customFormat="false" ht="15" hidden="false" customHeight="false" outlineLevel="0" collapsed="false">
      <c r="B45" s="8" t="n">
        <v>23</v>
      </c>
      <c r="C45" s="3" t="s">
        <v>185</v>
      </c>
      <c r="D45" s="3" t="s">
        <v>186</v>
      </c>
      <c r="E45" s="8" t="s">
        <v>253</v>
      </c>
      <c r="F45" s="8" t="s">
        <v>254</v>
      </c>
      <c r="G45" s="3" t="s">
        <v>279</v>
      </c>
    </row>
    <row r="47" customFormat="false" ht="15" hidden="false" customHeight="false" outlineLevel="0" collapsed="false">
      <c r="C47" s="2" t="s">
        <v>280</v>
      </c>
      <c r="D47" s="8" t="n">
        <f aca="false">COUNTA(C23:C45)</f>
        <v>23</v>
      </c>
    </row>
    <row r="48" customFormat="false" ht="15" hidden="false" customHeight="false" outlineLevel="0" collapsed="false">
      <c r="C48" s="2" t="s">
        <v>281</v>
      </c>
      <c r="D48" s="8" t="n">
        <f aca="false">COUNTIF(E23:E45,"Y")</f>
        <v>23</v>
      </c>
    </row>
    <row r="49" customFormat="false" ht="15" hidden="false" customHeight="false" outlineLevel="0" collapsed="false">
      <c r="C49" s="2" t="s">
        <v>282</v>
      </c>
      <c r="D49" s="8" t="n">
        <f aca="false">COUNTIF(E23:E45,"P")</f>
        <v>0</v>
      </c>
    </row>
    <row r="50" customFormat="false" ht="15" hidden="false" customHeight="false" outlineLevel="0" collapsed="false">
      <c r="C50" s="2" t="s">
        <v>283</v>
      </c>
      <c r="D50" s="14" t="n">
        <f aca="false">IF(D47=0,0,D48/D47)</f>
        <v>1</v>
      </c>
    </row>
  </sheetData>
  <mergeCells count="2">
    <mergeCell ref="B2:F2"/>
    <mergeCell ref="B21:F21"/>
  </mergeCells>
  <dataValidations count="1">
    <dataValidation allowBlank="true" errorStyle="stop" operator="between" showDropDown="false" showErrorMessage="false" showInputMessage="false" sqref="F6:F17"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2026-10-23T09:19:54Z</dcterms:created>
  <dc:creator>openpyxl</dc:creator>
  <dc:description/>
  <dc:language>en-US</dc:language>
  <cp:lastModifiedBy/>
  <dcterms:modified xsi:type="dcterms:W3CDTF">2026-10-23T09:19:54Z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